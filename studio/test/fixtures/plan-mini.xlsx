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-moi" sheetId="1" r:id="rId1"/>
    <sheet name="Hypothèses" sheetId="2" r:id="rId2"/>
    <sheet name="Plan 60m — Exemple" sheetId="3" r:id="rId3"/>
    <sheet name="Synthèse" sheetId="4" r:id="rId4"/>
    <sheet name="Sourc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#,##0 &quot;€&quot;"/>
    <numFmt numFmtId="61" formatCode="0.0%"/>
    <numFmt numFmtId="62" formatCode="0.0"/>
    <numFmt numFmtId="63" formatCode="0.000"/>
    <numFmt numFmtId="64" formatCode="mmm yyyy"/>
    <numFmt numFmtId="65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1" fontId="0" fillId="0" borderId="0" xfId="0" applyNumberFormat="1"/>
    <xf numFmtId="62" fontId="0" fillId="0" borderId="0" xfId="0" applyNumberFormat="1"/>
    <xf numFmtId="63" fontId="0" fillId="0" borderId="0" xfId="0" applyNumberFormat="1"/>
    <xf numFmtId="2" fontId="0" fillId="0" borderId="0" xfId="0" applyNumberFormat="1"/>
    <xf numFmtId="64" fontId="0" fillId="0" borderId="0" xfId="0" applyNumberFormat="1"/>
    <xf numFmtId="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Lisez-moi</v>
      </c>
    </row>
    <row r="3">
      <c r="A3" t="str">
        <v>Classeur FICTIF de démonstration pour les tests automatisés de Reporting 4D Studio (import intelligent) : société « Exemple SA », produits « Produit A » et « Produit B ».</v>
      </c>
    </row>
    <row r="4">
      <c r="A4" t="str">
        <v>Aucune donnée réelle : toutes les hypothèses de l'onglet Hypothèses sont inventées ; les autres onglets ne contiennent que des formules.</v>
      </c>
    </row>
    <row r="5">
      <c r="A5" t="str">
        <v>Onglets : Hypothèses (paramètres), Plan 60m — Exemple (plan mensuel janv. 2027 – déc. 2031), Synthèse (tableau annuel, deux variantes), Sources.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Data>
    <row r="1">
      <c r="A1" t="str">
        <v>Hypothèses — Exemple SA (données fictives)</v>
      </c>
    </row>
    <row r="3">
      <c r="A3" t="str">
        <v>Paramètre</v>
      </c>
      <c r="B3" t="str">
        <v>Unité</v>
      </c>
      <c r="D3" t="str">
        <v>Valeur</v>
      </c>
    </row>
    <row r="5">
      <c r="A5" t="str">
        <v>1. Prix et clients</v>
      </c>
    </row>
    <row r="6">
      <c r="A6" t="str">
        <v>Prix mensuel par licence — Produit A</v>
      </c>
      <c r="B6" t="str">
        <v>€</v>
      </c>
      <c r="D6" s="1">
        <v>45</v>
      </c>
    </row>
    <row r="7">
      <c r="A7" t="str">
        <v>Prix mensuel par licence — Produit B</v>
      </c>
      <c r="B7" t="str">
        <v>€</v>
      </c>
      <c r="D7" s="1">
        <v>120</v>
      </c>
    </row>
    <row r="8">
      <c r="A8" t="str">
        <v>Remise volume au-delà de 10 licences</v>
      </c>
      <c r="B8" t="str">
        <v>%</v>
      </c>
      <c r="D8" s="2">
        <v>0.1</v>
      </c>
    </row>
    <row r="9">
      <c r="A9" t="str">
        <v>Licences moyennes par client — Produit A</v>
      </c>
      <c r="B9" t="str">
        <v>nb</v>
      </c>
      <c r="D9" s="3">
        <v>6</v>
      </c>
    </row>
    <row r="10">
      <c r="A10" t="str">
        <v>Licences moyennes par client — Produit B</v>
      </c>
      <c r="B10" t="str">
        <v>nb</v>
      </c>
      <c r="D10" s="3">
        <v>12</v>
      </c>
    </row>
    <row r="11">
      <c r="A11" t="str">
        <v>Prix mensuel par client — Produit A</v>
      </c>
      <c r="B11" t="str">
        <v>€</v>
      </c>
      <c r="D11" s="1" t="e">
        <f>$D$9*IF($D$9&gt;10,$D$6*(1-$D$8),$D$6)</f>
      </c>
    </row>
    <row r="12">
      <c r="A12" t="str">
        <v>Prix mensuel par client — Produit B</v>
      </c>
      <c r="B12" t="str">
        <v>€</v>
      </c>
      <c r="D12" s="1" t="e">
        <f>$D$10*IF($D$10&gt;10,$D$7*(1-$D$8),$D$7)</f>
      </c>
    </row>
    <row r="13">
      <c r="A13" t="str">
        <v>Indexation annuelle des prix</v>
      </c>
      <c r="B13" t="str">
        <v>%</v>
      </c>
      <c r="D13" s="2">
        <v>0.03</v>
      </c>
    </row>
    <row r="14">
      <c r="A14" t="str">
        <v>Attrition mensuelle des clients — Produit A</v>
      </c>
      <c r="B14" t="str">
        <v>%</v>
      </c>
      <c r="D14" s="2">
        <v>0.015</v>
      </c>
    </row>
    <row r="15">
      <c r="A15" t="str">
        <v>Attrition mensuelle des clients — Produit B</v>
      </c>
      <c r="B15" t="str">
        <v>%</v>
      </c>
      <c r="D15" s="2">
        <v>0.01</v>
      </c>
    </row>
    <row r="16">
      <c r="A16" t="str">
        <v>Frais de mise en service par nouveau client</v>
      </c>
      <c r="B16" t="str">
        <v>€</v>
      </c>
      <c r="D16" s="1">
        <v>600</v>
      </c>
    </row>
    <row r="18">
      <c r="A18" t="str">
        <v>2. Équipe commerciale</v>
      </c>
    </row>
    <row r="19">
      <c r="A19" t="str">
        <v>Montée en compétence d'un commercial</v>
      </c>
      <c r="B19" t="str">
        <v>mois</v>
      </c>
      <c r="D19" s="3">
        <v>4</v>
      </c>
    </row>
    <row r="20">
      <c r="A20" t="str">
        <v>Signatures Produit A par commercial productif et par mois</v>
      </c>
      <c r="B20" t="str">
        <v>nb</v>
      </c>
      <c r="D20" s="4">
        <v>1.6</v>
      </c>
    </row>
    <row r="21">
      <c r="A21" t="str">
        <v>Signatures Produit B par commercial productif et par mois</v>
      </c>
      <c r="B21" t="str">
        <v>nb</v>
      </c>
      <c r="D21" s="4">
        <v>0.5</v>
      </c>
    </row>
    <row r="22">
      <c r="A22" t="str">
        <v>Rotation annuelle des commerciaux</v>
      </c>
      <c r="B22" t="str">
        <v>%</v>
      </c>
      <c r="D22" s="2">
        <v>0.12</v>
      </c>
    </row>
    <row r="23">
      <c r="A23" t="str">
        <v>Vacance après un départ</v>
      </c>
      <c r="B23" t="str">
        <v>mois</v>
      </c>
      <c r="D23" s="3">
        <v>2</v>
      </c>
    </row>
    <row r="24">
      <c r="A24" t="str">
        <v>Facteur de capacité après attrition</v>
      </c>
      <c r="B24" t="str">
        <v>coef.</v>
      </c>
      <c r="D24" s="5" t="e">
        <f>MAX(0,1-$D$22*($D$23+$D$19/2)/12)</f>
      </c>
    </row>
    <row r="25">
      <c r="A25" t="str">
        <v>Coût mensuel chargé d'un commercial</v>
      </c>
      <c r="B25" t="str">
        <v>€</v>
      </c>
      <c r="D25" s="1">
        <v>5200</v>
      </c>
    </row>
    <row r="26">
      <c r="A26" t="str">
        <v>Commission sur le chiffre d'affaires</v>
      </c>
      <c r="B26" t="str">
        <v>%</v>
      </c>
      <c r="D26" s="2">
        <v>0.06</v>
      </c>
    </row>
    <row r="27">
      <c r="A27" t="str">
        <v>Mois d'embauche — commercial n°1</v>
      </c>
      <c r="B27" t="str">
        <v>mois</v>
      </c>
      <c r="D27" s="3">
        <v>4</v>
      </c>
    </row>
    <row r="28">
      <c r="A28" t="str">
        <v>Mois d'embauche — commercial n°2</v>
      </c>
      <c r="B28" t="str">
        <v>mois</v>
      </c>
      <c r="D28" s="3">
        <v>7</v>
      </c>
    </row>
    <row r="29">
      <c r="A29" t="str">
        <v>Mois d'embauche — commercial n°3</v>
      </c>
      <c r="B29" t="str">
        <v>mois</v>
      </c>
      <c r="D29" s="3">
        <v>10</v>
      </c>
    </row>
    <row r="30">
      <c r="A30" t="str">
        <v>Mois d'embauche — commercial n°4</v>
      </c>
      <c r="B30" t="str">
        <v>mois</v>
      </c>
      <c r="D30" s="3">
        <v>13</v>
      </c>
    </row>
    <row r="31">
      <c r="A31" t="str">
        <v>Mois d'embauche — commercial n°5</v>
      </c>
      <c r="B31" t="str">
        <v>mois</v>
      </c>
      <c r="D31" s="3">
        <v>15</v>
      </c>
    </row>
    <row r="32">
      <c r="A32" t="str">
        <v>Mois d'embauche — commercial n°6</v>
      </c>
      <c r="B32" t="str">
        <v>mois</v>
      </c>
      <c r="D32" s="3">
        <v>17</v>
      </c>
    </row>
    <row r="33">
      <c r="A33" t="str">
        <v>Mois d'embauche — commercial n°7</v>
      </c>
      <c r="B33" t="str">
        <v>mois</v>
      </c>
      <c r="D33" s="3">
        <v>19</v>
      </c>
    </row>
    <row r="34">
      <c r="A34" t="str">
        <v>Mois d'embauche — commercial n°8</v>
      </c>
      <c r="B34" t="str">
        <v>mois</v>
      </c>
      <c r="D34" s="3">
        <v>21</v>
      </c>
    </row>
    <row r="35">
      <c r="A35" t="str">
        <v>Mois d'embauche — commercial n°9</v>
      </c>
      <c r="B35" t="str">
        <v>mois</v>
      </c>
      <c r="D35" s="3">
        <v>23</v>
      </c>
    </row>
    <row r="36">
      <c r="A36" t="str">
        <v>Mois d'embauche — commercial n°10</v>
      </c>
      <c r="B36" t="str">
        <v>mois</v>
      </c>
      <c r="D36" s="3">
        <v>25</v>
      </c>
    </row>
    <row r="37">
      <c r="A37" t="str">
        <v>Mois d'embauche — commercial n°11</v>
      </c>
      <c r="B37" t="str">
        <v>mois</v>
      </c>
      <c r="D37" s="3">
        <v>27</v>
      </c>
    </row>
    <row r="38">
      <c r="A38" t="str">
        <v>Mois d'embauche — commercial n°12</v>
      </c>
      <c r="B38" t="str">
        <v>mois</v>
      </c>
      <c r="D38" s="3">
        <v>29</v>
      </c>
    </row>
    <row r="39">
      <c r="A39" t="str">
        <v>Mois d'embauche — commercial n°13</v>
      </c>
      <c r="B39" t="str">
        <v>mois</v>
      </c>
      <c r="D39" s="3">
        <v>31</v>
      </c>
    </row>
    <row r="40">
      <c r="A40" t="str">
        <v>Mois d'embauche — commercial n°14</v>
      </c>
      <c r="B40" t="str">
        <v>mois</v>
      </c>
      <c r="D40" s="3">
        <v>33</v>
      </c>
    </row>
    <row r="41">
      <c r="A41" t="str">
        <v>Mois d'embauche — commercial n°15</v>
      </c>
      <c r="B41" t="str">
        <v>mois</v>
      </c>
      <c r="D41" s="3">
        <v>35</v>
      </c>
    </row>
    <row r="42">
      <c r="A42" t="str">
        <v>Mois d'embauche — commercial n°16</v>
      </c>
      <c r="B42" t="str">
        <v>mois</v>
      </c>
      <c r="D42" s="3">
        <v>37</v>
      </c>
    </row>
    <row r="43">
      <c r="A43" t="str">
        <v>Mois d'embauche — commercial n°17</v>
      </c>
      <c r="B43" t="str">
        <v>mois</v>
      </c>
      <c r="D43" s="3">
        <v>39</v>
      </c>
    </row>
    <row r="44">
      <c r="A44" t="str">
        <v>Mois d'embauche — commercial n°18</v>
      </c>
      <c r="B44" t="str">
        <v>mois</v>
      </c>
      <c r="D44" s="3">
        <v>41</v>
      </c>
    </row>
    <row r="45">
      <c r="A45" t="str">
        <v>Mois d'embauche — commercial n°19</v>
      </c>
      <c r="B45" t="str">
        <v>mois</v>
      </c>
      <c r="D45" s="3">
        <v>43</v>
      </c>
    </row>
    <row r="46">
      <c r="A46" t="str">
        <v>Mois d'embauche — commercial n°20</v>
      </c>
      <c r="B46" t="str">
        <v>mois</v>
      </c>
      <c r="D46" s="3">
        <v>46</v>
      </c>
    </row>
    <row r="47">
      <c r="A47" t="str">
        <v>Mois d'embauche — commercial n°21</v>
      </c>
      <c r="B47" t="str">
        <v>mois</v>
      </c>
      <c r="D47" s="3">
        <v>49</v>
      </c>
    </row>
    <row r="48">
      <c r="A48" t="str">
        <v>Mois d'embauche — commercial n°22</v>
      </c>
      <c r="B48" t="str">
        <v>mois</v>
      </c>
      <c r="D48" s="3">
        <v>52</v>
      </c>
    </row>
    <row r="49">
      <c r="A49" t="str">
        <v>Mois d'embauche — commercial n°23</v>
      </c>
      <c r="B49" t="str">
        <v>mois</v>
      </c>
      <c r="D49" s="3">
        <v>55</v>
      </c>
    </row>
    <row r="50">
      <c r="A50" t="str">
        <v>Mois d'embauche — commercial n°24</v>
      </c>
      <c r="B50" t="str">
        <v>mois</v>
      </c>
      <c r="D50" s="3">
        <v>58</v>
      </c>
    </row>
    <row r="52">
      <c r="A52" t="str">
        <v>3. Pipeline et partenaires</v>
      </c>
    </row>
    <row r="53">
      <c r="A53" t="str">
        <v>Coût d'acquisition d'un lead</v>
      </c>
      <c r="B53" t="str">
        <v>€</v>
      </c>
      <c r="D53" s="1">
        <v>45</v>
      </c>
    </row>
    <row r="54">
      <c r="A54" t="str">
        <v>Croissance annuelle des leads</v>
      </c>
      <c r="B54" t="str">
        <v>%</v>
      </c>
      <c r="D54" s="2">
        <v>0.15</v>
      </c>
    </row>
    <row r="55">
      <c r="A55" t="str">
        <v>Taux de rendez-vous qualifiés</v>
      </c>
      <c r="B55" t="str">
        <v>%</v>
      </c>
      <c r="D55" s="2">
        <v>0.18</v>
      </c>
    </row>
    <row r="56">
      <c r="A56" t="str">
        <v>Opportunités suivies par commercial productif</v>
      </c>
      <c r="B56" t="str">
        <v>nb</v>
      </c>
      <c r="D56" s="3">
        <v>12</v>
      </c>
    </row>
    <row r="57">
      <c r="A57" t="str">
        <v>Canal partenaires activé (1/0)</v>
      </c>
      <c r="B57" t="str">
        <v>0/1</v>
      </c>
      <c r="D57" s="3">
        <v>1</v>
      </c>
    </row>
    <row r="58">
      <c r="A58" t="str">
        <v>Démarrage du canal partenaires</v>
      </c>
      <c r="B58" t="str">
        <v>mois</v>
      </c>
      <c r="D58" s="3">
        <v>6</v>
      </c>
    </row>
    <row r="59">
      <c r="A59" t="str">
        <v>Montée en charge du canal partenaires</v>
      </c>
      <c r="B59" t="str">
        <v>mois</v>
      </c>
      <c r="D59" s="3">
        <v>3</v>
      </c>
    </row>
    <row r="60">
      <c r="A60" t="str">
        <v>Signatures Produit A par mois via partenaires (régime)</v>
      </c>
      <c r="B60" t="str">
        <v>nb</v>
      </c>
      <c r="D60" s="4">
        <v>2.5</v>
      </c>
    </row>
    <row r="62">
      <c r="A62" t="str">
        <v>4. Support et charges</v>
      </c>
    </row>
    <row r="63">
      <c r="A63" t="str">
        <v>Clients par ETP support</v>
      </c>
      <c r="B63" t="str">
        <v>nb</v>
      </c>
      <c r="D63" s="3">
        <v>120</v>
      </c>
    </row>
    <row r="64">
      <c r="A64" t="str">
        <v>Premier mois d'embauche support</v>
      </c>
      <c r="B64" t="str">
        <v>mois</v>
      </c>
      <c r="D64" s="3">
        <v>3</v>
      </c>
    </row>
    <row r="65">
      <c r="A65" t="str">
        <v>ETP support maximum</v>
      </c>
      <c r="B65" t="str">
        <v>ETP</v>
      </c>
      <c r="D65" s="3">
        <v>6</v>
      </c>
    </row>
    <row r="66">
      <c r="A66" t="str">
        <v>Coût mensuel chargé d'un ETP support</v>
      </c>
      <c r="B66" t="str">
        <v>€</v>
      </c>
      <c r="D66" s="1">
        <v>3800</v>
      </c>
    </row>
    <row r="67">
      <c r="A67" t="str">
        <v>Hébergement minimum</v>
      </c>
      <c r="B67" t="str">
        <v>€</v>
      </c>
      <c r="D67" s="1">
        <v>400</v>
      </c>
    </row>
    <row r="68">
      <c r="A68" t="str">
        <v>Hébergement par client</v>
      </c>
      <c r="B68" t="str">
        <v>€</v>
      </c>
      <c r="D68" s="1">
        <v>2.5</v>
      </c>
    </row>
    <row r="69">
      <c r="A69" t="str">
        <v>Marketing fixe</v>
      </c>
      <c r="B69" t="str">
        <v>€</v>
      </c>
      <c r="D69" s="1">
        <v>3000</v>
      </c>
    </row>
    <row r="70">
      <c r="A70" t="str">
        <v>Marketing variable (part du CA)</v>
      </c>
      <c r="B70" t="str">
        <v>%</v>
      </c>
      <c r="D70" s="2">
        <v>0.04</v>
      </c>
    </row>
    <row r="71">
      <c r="A71" t="str">
        <v>Frais généraux</v>
      </c>
      <c r="B71" t="str">
        <v>€</v>
      </c>
      <c r="D71" s="1">
        <v>6500</v>
      </c>
    </row>
    <row r="72">
      <c r="A72" t="str">
        <v>Inflation annuelle des frais généraux</v>
      </c>
      <c r="B72" t="str">
        <v>%</v>
      </c>
      <c r="D72" s="2">
        <v>0.025</v>
      </c>
    </row>
    <row r="73">
      <c r="A73" t="str">
        <v>Amortissements</v>
      </c>
      <c r="B73" t="str">
        <v>€</v>
      </c>
      <c r="D73" s="1">
        <v>900</v>
      </c>
    </row>
    <row r="74">
      <c r="A74" t="str">
        <v>Taux d'impôt (simplifié)</v>
      </c>
      <c r="B74" t="str">
        <v>%</v>
      </c>
      <c r="D74" s="2">
        <v>0.25</v>
      </c>
    </row>
    <row r="75">
      <c r="A75" t="str">
        <v>Part du CA encaissée le mois suivant</v>
      </c>
      <c r="B75" t="str">
        <v>%</v>
      </c>
      <c r="D75" s="2">
        <v>0.3</v>
      </c>
    </row>
    <row r="76">
      <c r="A76" t="str">
        <v>Trésorerie d'ouverture</v>
      </c>
      <c r="B76" t="str">
        <v>€</v>
      </c>
      <c r="D76" s="1">
        <v>150000</v>
      </c>
    </row>
    <row r="77">
      <c r="A77" t="str">
        <v>Coefficient de la variante prudente</v>
      </c>
      <c r="B77" t="str">
        <v>coef.</v>
      </c>
      <c r="D77" s="6">
        <v>0.85</v>
      </c>
    </row>
  </sheetData>
  <ignoredErrors>
    <ignoredError numberStoredAsText="1" sqref="A1:D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P133"/>
  <sheetViews>
    <sheetView workbookViewId="0"/>
  </sheetViews>
  <sheetData>
    <row r="1">
      <c r="A1" t="str">
        <v>Exemple SA — plan mensuel 60 mois (janv. 2027 – déc. 2031), EUR HT — données fictives</v>
      </c>
    </row>
    <row r="2">
      <c r="A2" t="str">
        <v>Toutes les cellules sont des formules liées à la colonne D de l'onglet Hypothèses. Colonne C = ouverture (avant le mois 1). Résumé (besoin de financement, point bas) en bas de la feuille.</v>
      </c>
    </row>
    <row r="3">
      <c r="A3" t="str">
        <v>Lecture : embauches support calculées sur le mois précédent (pas de références circulaires).</v>
      </c>
    </row>
    <row r="5">
      <c r="A5" t="str">
        <v>Poste</v>
      </c>
      <c r="B5" t="str">
        <v>Unité</v>
      </c>
      <c r="C5" t="str">
        <v>Ouverture</v>
      </c>
      <c r="D5" t="str">
        <v>M1</v>
      </c>
      <c r="E5" t="str">
        <v>M2</v>
      </c>
      <c r="F5" t="str">
        <v>M3</v>
      </c>
      <c r="G5" t="str">
        <v>M4</v>
      </c>
      <c r="H5" t="str">
        <v>M5</v>
      </c>
      <c r="I5" t="str">
        <v>M6</v>
      </c>
      <c r="J5" t="str">
        <v>M7</v>
      </c>
      <c r="K5" t="str">
        <v>M8</v>
      </c>
      <c r="L5" t="str">
        <v>M9</v>
      </c>
      <c r="M5" t="str">
        <v>M10</v>
      </c>
      <c r="N5" t="str">
        <v>M11</v>
      </c>
      <c r="O5" t="str">
        <v>M12</v>
      </c>
      <c r="P5" t="str">
        <v>M13</v>
      </c>
      <c r="Q5" t="str">
        <v>M14</v>
      </c>
      <c r="R5" t="str">
        <v>M15</v>
      </c>
      <c r="S5" t="str">
        <v>M16</v>
      </c>
      <c r="T5" t="str">
        <v>M17</v>
      </c>
      <c r="U5" t="str">
        <v>M18</v>
      </c>
      <c r="V5" t="str">
        <v>M19</v>
      </c>
      <c r="W5" t="str">
        <v>M20</v>
      </c>
      <c r="X5" t="str">
        <v>M21</v>
      </c>
      <c r="Y5" t="str">
        <v>M22</v>
      </c>
      <c r="Z5" t="str">
        <v>M23</v>
      </c>
      <c r="AA5" t="str">
        <v>M24</v>
      </c>
      <c r="AB5" t="str">
        <v>M25</v>
      </c>
      <c r="AC5" t="str">
        <v>M26</v>
      </c>
      <c r="AD5" t="str">
        <v>M27</v>
      </c>
      <c r="AE5" t="str">
        <v>M28</v>
      </c>
      <c r="AF5" t="str">
        <v>M29</v>
      </c>
      <c r="AG5" t="str">
        <v>M30</v>
      </c>
      <c r="AH5" t="str">
        <v>M31</v>
      </c>
      <c r="AI5" t="str">
        <v>M32</v>
      </c>
      <c r="AJ5" t="str">
        <v>M33</v>
      </c>
      <c r="AK5" t="str">
        <v>M34</v>
      </c>
      <c r="AL5" t="str">
        <v>M35</v>
      </c>
      <c r="AM5" t="str">
        <v>M36</v>
      </c>
      <c r="AN5" t="str">
        <v>M37</v>
      </c>
      <c r="AO5" t="str">
        <v>M38</v>
      </c>
      <c r="AP5" t="str">
        <v>M39</v>
      </c>
      <c r="AQ5" t="str">
        <v>M40</v>
      </c>
      <c r="AR5" t="str">
        <v>M41</v>
      </c>
      <c r="AS5" t="str">
        <v>M42</v>
      </c>
      <c r="AT5" t="str">
        <v>M43</v>
      </c>
      <c r="AU5" t="str">
        <v>M44</v>
      </c>
      <c r="AV5" t="str">
        <v>M45</v>
      </c>
      <c r="AW5" t="str">
        <v>M46</v>
      </c>
      <c r="AX5" t="str">
        <v>M47</v>
      </c>
      <c r="AY5" t="str">
        <v>M48</v>
      </c>
      <c r="AZ5" t="str">
        <v>M49</v>
      </c>
      <c r="BA5" t="str">
        <v>M50</v>
      </c>
      <c r="BB5" t="str">
        <v>M51</v>
      </c>
      <c r="BC5" t="str">
        <v>M52</v>
      </c>
      <c r="BD5" t="str">
        <v>M53</v>
      </c>
      <c r="BE5" t="str">
        <v>M54</v>
      </c>
      <c r="BF5" t="str">
        <v>M55</v>
      </c>
      <c r="BG5" t="str">
        <v>M56</v>
      </c>
      <c r="BH5" t="str">
        <v>M57</v>
      </c>
      <c r="BI5" t="str">
        <v>M58</v>
      </c>
      <c r="BJ5" t="str">
        <v>M59</v>
      </c>
      <c r="BK5" t="str">
        <v>M60</v>
      </c>
      <c r="BL5">
        <v>2027</v>
      </c>
      <c r="BM5">
        <v>2028</v>
      </c>
      <c r="BN5">
        <v>2029</v>
      </c>
      <c r="BO5">
        <v>2030</v>
      </c>
      <c r="BP5">
        <v>2031</v>
      </c>
    </row>
    <row r="7">
      <c r="A7" t="str">
        <v>Calendrier</v>
      </c>
    </row>
    <row r="8">
      <c r="A8" t="str">
        <v>Mois</v>
      </c>
      <c r="D8" s="7" t="e">
        <f>DATE(2027,1,1)</f>
      </c>
      <c r="E8" s="7" t="e">
        <f>DATE(2027,2,1)</f>
      </c>
      <c r="F8" s="7" t="e">
        <f>DATE(2027,3,1)</f>
      </c>
      <c r="G8" s="7" t="e">
        <f>DATE(2027,4,1)</f>
      </c>
      <c r="H8" s="7" t="e">
        <f>DATE(2027,5,1)</f>
      </c>
      <c r="I8" s="7" t="e">
        <f>DATE(2027,6,1)</f>
      </c>
      <c r="J8" s="7" t="e">
        <f>DATE(2027,7,1)</f>
      </c>
      <c r="K8" s="7" t="e">
        <f>DATE(2027,8,1)</f>
      </c>
      <c r="L8" s="7" t="e">
        <f>DATE(2027,9,1)</f>
      </c>
      <c r="M8" s="7" t="e">
        <f>DATE(2027,10,1)</f>
      </c>
      <c r="N8" s="7" t="e">
        <f>DATE(2027,11,1)</f>
      </c>
      <c r="O8" s="7" t="e">
        <f>DATE(2027,12,1)</f>
      </c>
      <c r="P8" s="7" t="e">
        <f>DATE(2027,13,1)</f>
      </c>
      <c r="Q8" s="7" t="e">
        <f>DATE(2027,14,1)</f>
      </c>
      <c r="R8" s="7" t="e">
        <f>DATE(2027,15,1)</f>
      </c>
      <c r="S8" s="7" t="e">
        <f>DATE(2027,16,1)</f>
      </c>
      <c r="T8" s="7" t="e">
        <f>DATE(2027,17,1)</f>
      </c>
      <c r="U8" s="7" t="e">
        <f>DATE(2027,18,1)</f>
      </c>
      <c r="V8" s="7" t="e">
        <f>DATE(2027,19,1)</f>
      </c>
      <c r="W8" s="7" t="e">
        <f>DATE(2027,20,1)</f>
      </c>
      <c r="X8" s="7" t="e">
        <f>DATE(2027,21,1)</f>
      </c>
      <c r="Y8" s="7" t="e">
        <f>DATE(2027,22,1)</f>
      </c>
      <c r="Z8" s="7" t="e">
        <f>DATE(2027,23,1)</f>
      </c>
      <c r="AA8" s="7" t="e">
        <f>DATE(2027,24,1)</f>
      </c>
      <c r="AB8" s="7" t="e">
        <f>DATE(2027,25,1)</f>
      </c>
      <c r="AC8" s="7" t="e">
        <f>DATE(2027,26,1)</f>
      </c>
      <c r="AD8" s="7" t="e">
        <f>DATE(2027,27,1)</f>
      </c>
      <c r="AE8" s="7" t="e">
        <f>DATE(2027,28,1)</f>
      </c>
      <c r="AF8" s="7" t="e">
        <f>DATE(2027,29,1)</f>
      </c>
      <c r="AG8" s="7" t="e">
        <f>DATE(2027,30,1)</f>
      </c>
      <c r="AH8" s="7" t="e">
        <f>DATE(2027,31,1)</f>
      </c>
      <c r="AI8" s="7" t="e">
        <f>DATE(2027,32,1)</f>
      </c>
      <c r="AJ8" s="7" t="e">
        <f>DATE(2027,33,1)</f>
      </c>
      <c r="AK8" s="7" t="e">
        <f>DATE(2027,34,1)</f>
      </c>
      <c r="AL8" s="7" t="e">
        <f>DATE(2027,35,1)</f>
      </c>
      <c r="AM8" s="7" t="e">
        <f>DATE(2027,36,1)</f>
      </c>
      <c r="AN8" s="7" t="e">
        <f>DATE(2027,37,1)</f>
      </c>
      <c r="AO8" s="7" t="e">
        <f>DATE(2027,38,1)</f>
      </c>
      <c r="AP8" s="7" t="e">
        <f>DATE(2027,39,1)</f>
      </c>
      <c r="AQ8" s="7" t="e">
        <f>DATE(2027,40,1)</f>
      </c>
      <c r="AR8" s="7" t="e">
        <f>DATE(2027,41,1)</f>
      </c>
      <c r="AS8" s="7" t="e">
        <f>DATE(2027,42,1)</f>
      </c>
      <c r="AT8" s="7" t="e">
        <f>DATE(2027,43,1)</f>
      </c>
      <c r="AU8" s="7" t="e">
        <f>DATE(2027,44,1)</f>
      </c>
      <c r="AV8" s="7" t="e">
        <f>DATE(2027,45,1)</f>
      </c>
      <c r="AW8" s="7" t="e">
        <f>DATE(2027,46,1)</f>
      </c>
      <c r="AX8" s="7" t="e">
        <f>DATE(2027,47,1)</f>
      </c>
      <c r="AY8" s="7" t="e">
        <f>DATE(2027,48,1)</f>
      </c>
      <c r="AZ8" s="7" t="e">
        <f>DATE(2027,49,1)</f>
      </c>
      <c r="BA8" s="7" t="e">
        <f>DATE(2027,50,1)</f>
      </c>
      <c r="BB8" s="7" t="e">
        <f>DATE(2027,51,1)</f>
      </c>
      <c r="BC8" s="7" t="e">
        <f>DATE(2027,52,1)</f>
      </c>
      <c r="BD8" s="7" t="e">
        <f>DATE(2027,53,1)</f>
      </c>
      <c r="BE8" s="7" t="e">
        <f>DATE(2027,54,1)</f>
      </c>
      <c r="BF8" s="7" t="e">
        <f>DATE(2027,55,1)</f>
      </c>
      <c r="BG8" s="7" t="e">
        <f>DATE(2027,56,1)</f>
      </c>
      <c r="BH8" s="7" t="e">
        <f>DATE(2027,57,1)</f>
      </c>
      <c r="BI8" s="7" t="e">
        <f>DATE(2027,58,1)</f>
      </c>
      <c r="BJ8" s="7" t="e">
        <f>DATE(2027,59,1)</f>
      </c>
      <c r="BK8" s="7" t="e">
        <f>DATE(2027,60,1)</f>
      </c>
    </row>
    <row r="9">
      <c r="A9" t="str">
        <v>1. Équipe commerciale</v>
      </c>
    </row>
    <row r="10">
      <c r="A10" t="str">
        <v>Commercial salarié n°1 en poste (1/0)</v>
      </c>
      <c r="B10" t="str">
        <v>0/1</v>
      </c>
      <c r="C10" s="3">
        <v>0</v>
      </c>
      <c r="D10" s="3" t="e">
        <f>IF(1&gt;='Hypothèses'!$D$27,1,0)</f>
      </c>
      <c r="E10" s="3" t="e">
        <f>IF(2&gt;='Hypothèses'!$D$27,1,0)</f>
      </c>
      <c r="F10" s="3" t="e">
        <f>IF(3&gt;='Hypothèses'!$D$27,1,0)</f>
      </c>
      <c r="G10" s="3" t="e">
        <f>IF(4&gt;='Hypothèses'!$D$27,1,0)</f>
      </c>
      <c r="H10" s="3" t="e">
        <f>IF(5&gt;='Hypothèses'!$D$27,1,0)</f>
      </c>
      <c r="I10" s="3" t="e">
        <f>IF(6&gt;='Hypothèses'!$D$27,1,0)</f>
      </c>
      <c r="J10" s="3" t="e">
        <f>IF(7&gt;='Hypothèses'!$D$27,1,0)</f>
      </c>
      <c r="K10" s="3" t="e">
        <f>IF(8&gt;='Hypothèses'!$D$27,1,0)</f>
      </c>
      <c r="L10" s="3" t="e">
        <f>IF(9&gt;='Hypothèses'!$D$27,1,0)</f>
      </c>
      <c r="M10" s="3" t="e">
        <f>IF(10&gt;='Hypothèses'!$D$27,1,0)</f>
      </c>
      <c r="N10" s="3" t="e">
        <f>IF(11&gt;='Hypothèses'!$D$27,1,0)</f>
      </c>
      <c r="O10" s="3" t="e">
        <f>IF(12&gt;='Hypothèses'!$D$27,1,0)</f>
      </c>
      <c r="P10" s="3" t="e">
        <f>IF(13&gt;='Hypothèses'!$D$27,1,0)</f>
      </c>
      <c r="Q10" s="3" t="e">
        <f>IF(14&gt;='Hypothèses'!$D$27,1,0)</f>
      </c>
      <c r="R10" s="3" t="e">
        <f>IF(15&gt;='Hypothèses'!$D$27,1,0)</f>
      </c>
      <c r="S10" s="3" t="e">
        <f>IF(16&gt;='Hypothèses'!$D$27,1,0)</f>
      </c>
      <c r="T10" s="3" t="e">
        <f>IF(17&gt;='Hypothèses'!$D$27,1,0)</f>
      </c>
      <c r="U10" s="3" t="e">
        <f>IF(18&gt;='Hypothèses'!$D$27,1,0)</f>
      </c>
      <c r="V10" s="3" t="e">
        <f>IF(19&gt;='Hypothèses'!$D$27,1,0)</f>
      </c>
      <c r="W10" s="3" t="e">
        <f>IF(20&gt;='Hypothèses'!$D$27,1,0)</f>
      </c>
      <c r="X10" s="3" t="e">
        <f>IF(21&gt;='Hypothèses'!$D$27,1,0)</f>
      </c>
      <c r="Y10" s="3" t="e">
        <f>IF(22&gt;='Hypothèses'!$D$27,1,0)</f>
      </c>
      <c r="Z10" s="3" t="e">
        <f>IF(23&gt;='Hypothèses'!$D$27,1,0)</f>
      </c>
      <c r="AA10" s="3" t="e">
        <f>IF(24&gt;='Hypothèses'!$D$27,1,0)</f>
      </c>
      <c r="AB10" s="3" t="e">
        <f>IF(25&gt;='Hypothèses'!$D$27,1,0)</f>
      </c>
      <c r="AC10" s="3" t="e">
        <f>IF(26&gt;='Hypothèses'!$D$27,1,0)</f>
      </c>
      <c r="AD10" s="3" t="e">
        <f>IF(27&gt;='Hypothèses'!$D$27,1,0)</f>
      </c>
      <c r="AE10" s="3" t="e">
        <f>IF(28&gt;='Hypothèses'!$D$27,1,0)</f>
      </c>
      <c r="AF10" s="3" t="e">
        <f>IF(29&gt;='Hypothèses'!$D$27,1,0)</f>
      </c>
      <c r="AG10" s="3" t="e">
        <f>IF(30&gt;='Hypothèses'!$D$27,1,0)</f>
      </c>
      <c r="AH10" s="3" t="e">
        <f>IF(31&gt;='Hypothèses'!$D$27,1,0)</f>
      </c>
      <c r="AI10" s="3" t="e">
        <f>IF(32&gt;='Hypothèses'!$D$27,1,0)</f>
      </c>
      <c r="AJ10" s="3" t="e">
        <f>IF(33&gt;='Hypothèses'!$D$27,1,0)</f>
      </c>
      <c r="AK10" s="3" t="e">
        <f>IF(34&gt;='Hypothèses'!$D$27,1,0)</f>
      </c>
      <c r="AL10" s="3" t="e">
        <f>IF(35&gt;='Hypothèses'!$D$27,1,0)</f>
      </c>
      <c r="AM10" s="3" t="e">
        <f>IF(36&gt;='Hypothèses'!$D$27,1,0)</f>
      </c>
      <c r="AN10" s="3" t="e">
        <f>IF(37&gt;='Hypothèses'!$D$27,1,0)</f>
      </c>
      <c r="AO10" s="3" t="e">
        <f>IF(38&gt;='Hypothèses'!$D$27,1,0)</f>
      </c>
      <c r="AP10" s="3" t="e">
        <f>IF(39&gt;='Hypothèses'!$D$27,1,0)</f>
      </c>
      <c r="AQ10" s="3" t="e">
        <f>IF(40&gt;='Hypothèses'!$D$27,1,0)</f>
      </c>
      <c r="AR10" s="3" t="e">
        <f>IF(41&gt;='Hypothèses'!$D$27,1,0)</f>
      </c>
      <c r="AS10" s="3" t="e">
        <f>IF(42&gt;='Hypothèses'!$D$27,1,0)</f>
      </c>
      <c r="AT10" s="3" t="e">
        <f>IF(43&gt;='Hypothèses'!$D$27,1,0)</f>
      </c>
      <c r="AU10" s="3" t="e">
        <f>IF(44&gt;='Hypothèses'!$D$27,1,0)</f>
      </c>
      <c r="AV10" s="3" t="e">
        <f>IF(45&gt;='Hypothèses'!$D$27,1,0)</f>
      </c>
      <c r="AW10" s="3" t="e">
        <f>IF(46&gt;='Hypothèses'!$D$27,1,0)</f>
      </c>
      <c r="AX10" s="3" t="e">
        <f>IF(47&gt;='Hypothèses'!$D$27,1,0)</f>
      </c>
      <c r="AY10" s="3" t="e">
        <f>IF(48&gt;='Hypothèses'!$D$27,1,0)</f>
      </c>
      <c r="AZ10" s="3" t="e">
        <f>IF(49&gt;='Hypothèses'!$D$27,1,0)</f>
      </c>
      <c r="BA10" s="3" t="e">
        <f>IF(50&gt;='Hypothèses'!$D$27,1,0)</f>
      </c>
      <c r="BB10" s="3" t="e">
        <f>IF(51&gt;='Hypothèses'!$D$27,1,0)</f>
      </c>
      <c r="BC10" s="3" t="e">
        <f>IF(52&gt;='Hypothèses'!$D$27,1,0)</f>
      </c>
      <c r="BD10" s="3" t="e">
        <f>IF(53&gt;='Hypothèses'!$D$27,1,0)</f>
      </c>
      <c r="BE10" s="3" t="e">
        <f>IF(54&gt;='Hypothèses'!$D$27,1,0)</f>
      </c>
      <c r="BF10" s="3" t="e">
        <f>IF(55&gt;='Hypothèses'!$D$27,1,0)</f>
      </c>
      <c r="BG10" s="3" t="e">
        <f>IF(56&gt;='Hypothèses'!$D$27,1,0)</f>
      </c>
      <c r="BH10" s="3" t="e">
        <f>IF(57&gt;='Hypothèses'!$D$27,1,0)</f>
      </c>
      <c r="BI10" s="3" t="e">
        <f>IF(58&gt;='Hypothèses'!$D$27,1,0)</f>
      </c>
      <c r="BJ10" s="3" t="e">
        <f>IF(59&gt;='Hypothèses'!$D$27,1,0)</f>
      </c>
      <c r="BK10" s="3" t="e">
        <f>IF(60&gt;='Hypothèses'!$D$27,1,0)</f>
      </c>
      <c r="BL10" s="3" t="e">
        <f>O10</f>
      </c>
      <c r="BM10" s="3" t="e">
        <f>AA10</f>
      </c>
      <c r="BN10" s="3" t="e">
        <f>AM10</f>
      </c>
      <c r="BO10" s="3" t="e">
        <f>AY10</f>
      </c>
      <c r="BP10" s="3" t="e">
        <f>BK10</f>
      </c>
    </row>
    <row r="11">
      <c r="A11" t="str">
        <v>Commercial salarié n°1 — ancienneté</v>
      </c>
      <c r="B11" t="str">
        <v>mois</v>
      </c>
      <c r="C11" s="3">
        <v>0</v>
      </c>
      <c r="D11" s="3" t="e">
        <f>IF(D10=1,C11+1,0)</f>
      </c>
      <c r="E11" s="3" t="e">
        <f>IF(E10=1,D11+1,0)</f>
      </c>
      <c r="F11" s="3" t="e">
        <f>IF(F10=1,E11+1,0)</f>
      </c>
      <c r="G11" s="3" t="e">
        <f>IF(G10=1,F11+1,0)</f>
      </c>
      <c r="H11" s="3" t="e">
        <f>IF(H10=1,G11+1,0)</f>
      </c>
      <c r="I11" s="3" t="e">
        <f>IF(I10=1,H11+1,0)</f>
      </c>
      <c r="J11" s="3" t="e">
        <f>IF(J10=1,I11+1,0)</f>
      </c>
      <c r="K11" s="3" t="e">
        <f>IF(K10=1,J11+1,0)</f>
      </c>
      <c r="L11" s="3" t="e">
        <f>IF(L10=1,K11+1,0)</f>
      </c>
      <c r="M11" s="3" t="e">
        <f>IF(M10=1,L11+1,0)</f>
      </c>
      <c r="N11" s="3" t="e">
        <f>IF(N10=1,M11+1,0)</f>
      </c>
      <c r="O11" s="3" t="e">
        <f>IF(O10=1,N11+1,0)</f>
      </c>
      <c r="P11" s="3" t="e">
        <f>IF(P10=1,O11+1,0)</f>
      </c>
      <c r="Q11" s="3" t="e">
        <f>IF(Q10=1,P11+1,0)</f>
      </c>
      <c r="R11" s="3" t="e">
        <f>IF(R10=1,Q11+1,0)</f>
      </c>
      <c r="S11" s="3" t="e">
        <f>IF(S10=1,R11+1,0)</f>
      </c>
      <c r="T11" s="3" t="e">
        <f>IF(T10=1,S11+1,0)</f>
      </c>
      <c r="U11" s="3" t="e">
        <f>IF(U10=1,T11+1,0)</f>
      </c>
      <c r="V11" s="3" t="e">
        <f>IF(V10=1,U11+1,0)</f>
      </c>
      <c r="W11" s="3" t="e">
        <f>IF(W10=1,V11+1,0)</f>
      </c>
      <c r="X11" s="3" t="e">
        <f>IF(X10=1,W11+1,0)</f>
      </c>
      <c r="Y11" s="3" t="e">
        <f>IF(Y10=1,X11+1,0)</f>
      </c>
      <c r="Z11" s="3" t="e">
        <f>IF(Z10=1,Y11+1,0)</f>
      </c>
      <c r="AA11" s="3" t="e">
        <f>IF(AA10=1,Z11+1,0)</f>
      </c>
      <c r="AB11" s="3" t="e">
        <f>IF(AB10=1,AA11+1,0)</f>
      </c>
      <c r="AC11" s="3" t="e">
        <f>IF(AC10=1,AB11+1,0)</f>
      </c>
      <c r="AD11" s="3" t="e">
        <f>IF(AD10=1,AC11+1,0)</f>
      </c>
      <c r="AE11" s="3" t="e">
        <f>IF(AE10=1,AD11+1,0)</f>
      </c>
      <c r="AF11" s="3" t="e">
        <f>IF(AF10=1,AE11+1,0)</f>
      </c>
      <c r="AG11" s="3" t="e">
        <f>IF(AG10=1,AF11+1,0)</f>
      </c>
      <c r="AH11" s="3" t="e">
        <f>IF(AH10=1,AG11+1,0)</f>
      </c>
      <c r="AI11" s="3" t="e">
        <f>IF(AI10=1,AH11+1,0)</f>
      </c>
      <c r="AJ11" s="3" t="e">
        <f>IF(AJ10=1,AI11+1,0)</f>
      </c>
      <c r="AK11" s="3" t="e">
        <f>IF(AK10=1,AJ11+1,0)</f>
      </c>
      <c r="AL11" s="3" t="e">
        <f>IF(AL10=1,AK11+1,0)</f>
      </c>
      <c r="AM11" s="3" t="e">
        <f>IF(AM10=1,AL11+1,0)</f>
      </c>
      <c r="AN11" s="3" t="e">
        <f>IF(AN10=1,AM11+1,0)</f>
      </c>
      <c r="AO11" s="3" t="e">
        <f>IF(AO10=1,AN11+1,0)</f>
      </c>
      <c r="AP11" s="3" t="e">
        <f>IF(AP10=1,AO11+1,0)</f>
      </c>
      <c r="AQ11" s="3" t="e">
        <f>IF(AQ10=1,AP11+1,0)</f>
      </c>
      <c r="AR11" s="3" t="e">
        <f>IF(AR10=1,AQ11+1,0)</f>
      </c>
      <c r="AS11" s="3" t="e">
        <f>IF(AS10=1,AR11+1,0)</f>
      </c>
      <c r="AT11" s="3" t="e">
        <f>IF(AT10=1,AS11+1,0)</f>
      </c>
      <c r="AU11" s="3" t="e">
        <f>IF(AU10=1,AT11+1,0)</f>
      </c>
      <c r="AV11" s="3" t="e">
        <f>IF(AV10=1,AU11+1,0)</f>
      </c>
      <c r="AW11" s="3" t="e">
        <f>IF(AW10=1,AV11+1,0)</f>
      </c>
      <c r="AX11" s="3" t="e">
        <f>IF(AX10=1,AW11+1,0)</f>
      </c>
      <c r="AY11" s="3" t="e">
        <f>IF(AY10=1,AX11+1,0)</f>
      </c>
      <c r="AZ11" s="3" t="e">
        <f>IF(AZ10=1,AY11+1,0)</f>
      </c>
      <c r="BA11" s="3" t="e">
        <f>IF(BA10=1,AZ11+1,0)</f>
      </c>
      <c r="BB11" s="3" t="e">
        <f>IF(BB10=1,BA11+1,0)</f>
      </c>
      <c r="BC11" s="3" t="e">
        <f>IF(BC10=1,BB11+1,0)</f>
      </c>
      <c r="BD11" s="3" t="e">
        <f>IF(BD10=1,BC11+1,0)</f>
      </c>
      <c r="BE11" s="3" t="e">
        <f>IF(BE10=1,BD11+1,0)</f>
      </c>
      <c r="BF11" s="3" t="e">
        <f>IF(BF10=1,BE11+1,0)</f>
      </c>
      <c r="BG11" s="3" t="e">
        <f>IF(BG10=1,BF11+1,0)</f>
      </c>
      <c r="BH11" s="3" t="e">
        <f>IF(BH10=1,BG11+1,0)</f>
      </c>
      <c r="BI11" s="3" t="e">
        <f>IF(BI10=1,BH11+1,0)</f>
      </c>
      <c r="BJ11" s="3" t="e">
        <f>IF(BJ10=1,BI11+1,0)</f>
      </c>
      <c r="BK11" s="3" t="e">
        <f>IF(BK10=1,BJ11+1,0)</f>
      </c>
      <c r="BL11" s="3" t="e">
        <f>O11</f>
      </c>
      <c r="BM11" s="3" t="e">
        <f>AA11</f>
      </c>
      <c r="BN11" s="3" t="e">
        <f>AM11</f>
      </c>
      <c r="BO11" s="3" t="e">
        <f>AY11</f>
      </c>
      <c r="BP11" s="3" t="e">
        <f>BK11</f>
      </c>
    </row>
    <row r="12">
      <c r="A12" t="str">
        <v>Commercial salarié n°1 — productivité (ramp)</v>
      </c>
      <c r="B12" t="str">
        <v>%</v>
      </c>
      <c r="C12" s="2">
        <v>0</v>
      </c>
      <c r="D12" s="2" t="e">
        <f>IF(D10=1,MIN(1,D11/'Hypothèses'!$D$19),0)</f>
      </c>
      <c r="E12" s="2" t="e">
        <f>IF(E10=1,MIN(1,E11/'Hypothèses'!$D$19),0)</f>
      </c>
      <c r="F12" s="2" t="e">
        <f>IF(F10=1,MIN(1,F11/'Hypothèses'!$D$19),0)</f>
      </c>
      <c r="G12" s="2" t="e">
        <f>IF(G10=1,MIN(1,G11/'Hypothèses'!$D$19),0)</f>
      </c>
      <c r="H12" s="2" t="e">
        <f>IF(H10=1,MIN(1,H11/'Hypothèses'!$D$19),0)</f>
      </c>
      <c r="I12" s="2" t="e">
        <f>IF(I10=1,MIN(1,I11/'Hypothèses'!$D$19),0)</f>
      </c>
      <c r="J12" s="2" t="e">
        <f>IF(J10=1,MIN(1,J11/'Hypothèses'!$D$19),0)</f>
      </c>
      <c r="K12" s="2" t="e">
        <f>IF(K10=1,MIN(1,K11/'Hypothèses'!$D$19),0)</f>
      </c>
      <c r="L12" s="2" t="e">
        <f>IF(L10=1,MIN(1,L11/'Hypothèses'!$D$19),0)</f>
      </c>
      <c r="M12" s="2" t="e">
        <f>IF(M10=1,MIN(1,M11/'Hypothèses'!$D$19),0)</f>
      </c>
      <c r="N12" s="2" t="e">
        <f>IF(N10=1,MIN(1,N11/'Hypothèses'!$D$19),0)</f>
      </c>
      <c r="O12" s="2" t="e">
        <f>IF(O10=1,MIN(1,O11/'Hypothèses'!$D$19),0)</f>
      </c>
      <c r="P12" s="2" t="e">
        <f>IF(P10=1,MIN(1,P11/'Hypothèses'!$D$19),0)</f>
      </c>
      <c r="Q12" s="2" t="e">
        <f>IF(Q10=1,MIN(1,Q11/'Hypothèses'!$D$19),0)</f>
      </c>
      <c r="R12" s="2" t="e">
        <f>IF(R10=1,MIN(1,R11/'Hypothèses'!$D$19),0)</f>
      </c>
      <c r="S12" s="2" t="e">
        <f>IF(S10=1,MIN(1,S11/'Hypothèses'!$D$19),0)</f>
      </c>
      <c r="T12" s="2" t="e">
        <f>IF(T10=1,MIN(1,T11/'Hypothèses'!$D$19),0)</f>
      </c>
      <c r="U12" s="2" t="e">
        <f>IF(U10=1,MIN(1,U11/'Hypothèses'!$D$19),0)</f>
      </c>
      <c r="V12" s="2" t="e">
        <f>IF(V10=1,MIN(1,V11/'Hypothèses'!$D$19),0)</f>
      </c>
      <c r="W12" s="2" t="e">
        <f>IF(W10=1,MIN(1,W11/'Hypothèses'!$D$19),0)</f>
      </c>
      <c r="X12" s="2" t="e">
        <f>IF(X10=1,MIN(1,X11/'Hypothèses'!$D$19),0)</f>
      </c>
      <c r="Y12" s="2" t="e">
        <f>IF(Y10=1,MIN(1,Y11/'Hypothèses'!$D$19),0)</f>
      </c>
      <c r="Z12" s="2" t="e">
        <f>IF(Z10=1,MIN(1,Z11/'Hypothèses'!$D$19),0)</f>
      </c>
      <c r="AA12" s="2" t="e">
        <f>IF(AA10=1,MIN(1,AA11/'Hypothèses'!$D$19),0)</f>
      </c>
      <c r="AB12" s="2" t="e">
        <f>IF(AB10=1,MIN(1,AB11/'Hypothèses'!$D$19),0)</f>
      </c>
      <c r="AC12" s="2" t="e">
        <f>IF(AC10=1,MIN(1,AC11/'Hypothèses'!$D$19),0)</f>
      </c>
      <c r="AD12" s="2" t="e">
        <f>IF(AD10=1,MIN(1,AD11/'Hypothèses'!$D$19),0)</f>
      </c>
      <c r="AE12" s="2" t="e">
        <f>IF(AE10=1,MIN(1,AE11/'Hypothèses'!$D$19),0)</f>
      </c>
      <c r="AF12" s="2" t="e">
        <f>IF(AF10=1,MIN(1,AF11/'Hypothèses'!$D$19),0)</f>
      </c>
      <c r="AG12" s="2" t="e">
        <f>IF(AG10=1,MIN(1,AG11/'Hypothèses'!$D$19),0)</f>
      </c>
      <c r="AH12" s="2" t="e">
        <f>IF(AH10=1,MIN(1,AH11/'Hypothèses'!$D$19),0)</f>
      </c>
      <c r="AI12" s="2" t="e">
        <f>IF(AI10=1,MIN(1,AI11/'Hypothèses'!$D$19),0)</f>
      </c>
      <c r="AJ12" s="2" t="e">
        <f>IF(AJ10=1,MIN(1,AJ11/'Hypothèses'!$D$19),0)</f>
      </c>
      <c r="AK12" s="2" t="e">
        <f>IF(AK10=1,MIN(1,AK11/'Hypothèses'!$D$19),0)</f>
      </c>
      <c r="AL12" s="2" t="e">
        <f>IF(AL10=1,MIN(1,AL11/'Hypothèses'!$D$19),0)</f>
      </c>
      <c r="AM12" s="2" t="e">
        <f>IF(AM10=1,MIN(1,AM11/'Hypothèses'!$D$19),0)</f>
      </c>
      <c r="AN12" s="2" t="e">
        <f>IF(AN10=1,MIN(1,AN11/'Hypothèses'!$D$19),0)</f>
      </c>
      <c r="AO12" s="2" t="e">
        <f>IF(AO10=1,MIN(1,AO11/'Hypothèses'!$D$19),0)</f>
      </c>
      <c r="AP12" s="2" t="e">
        <f>IF(AP10=1,MIN(1,AP11/'Hypothèses'!$D$19),0)</f>
      </c>
      <c r="AQ12" s="2" t="e">
        <f>IF(AQ10=1,MIN(1,AQ11/'Hypothèses'!$D$19),0)</f>
      </c>
      <c r="AR12" s="2" t="e">
        <f>IF(AR10=1,MIN(1,AR11/'Hypothèses'!$D$19),0)</f>
      </c>
      <c r="AS12" s="2" t="e">
        <f>IF(AS10=1,MIN(1,AS11/'Hypothèses'!$D$19),0)</f>
      </c>
      <c r="AT12" s="2" t="e">
        <f>IF(AT10=1,MIN(1,AT11/'Hypothèses'!$D$19),0)</f>
      </c>
      <c r="AU12" s="2" t="e">
        <f>IF(AU10=1,MIN(1,AU11/'Hypothèses'!$D$19),0)</f>
      </c>
      <c r="AV12" s="2" t="e">
        <f>IF(AV10=1,MIN(1,AV11/'Hypothèses'!$D$19),0)</f>
      </c>
      <c r="AW12" s="2" t="e">
        <f>IF(AW10=1,MIN(1,AW11/'Hypothèses'!$D$19),0)</f>
      </c>
      <c r="AX12" s="2" t="e">
        <f>IF(AX10=1,MIN(1,AX11/'Hypothèses'!$D$19),0)</f>
      </c>
      <c r="AY12" s="2" t="e">
        <f>IF(AY10=1,MIN(1,AY11/'Hypothèses'!$D$19),0)</f>
      </c>
      <c r="AZ12" s="2" t="e">
        <f>IF(AZ10=1,MIN(1,AZ11/'Hypothèses'!$D$19),0)</f>
      </c>
      <c r="BA12" s="2" t="e">
        <f>IF(BA10=1,MIN(1,BA11/'Hypothèses'!$D$19),0)</f>
      </c>
      <c r="BB12" s="2" t="e">
        <f>IF(BB10=1,MIN(1,BB11/'Hypothèses'!$D$19),0)</f>
      </c>
      <c r="BC12" s="2" t="e">
        <f>IF(BC10=1,MIN(1,BC11/'Hypothèses'!$D$19),0)</f>
      </c>
      <c r="BD12" s="2" t="e">
        <f>IF(BD10=1,MIN(1,BD11/'Hypothèses'!$D$19),0)</f>
      </c>
      <c r="BE12" s="2" t="e">
        <f>IF(BE10=1,MIN(1,BE11/'Hypothèses'!$D$19),0)</f>
      </c>
      <c r="BF12" s="2" t="e">
        <f>IF(BF10=1,MIN(1,BF11/'Hypothèses'!$D$19),0)</f>
      </c>
      <c r="BG12" s="2" t="e">
        <f>IF(BG10=1,MIN(1,BG11/'Hypothèses'!$D$19),0)</f>
      </c>
      <c r="BH12" s="2" t="e">
        <f>IF(BH10=1,MIN(1,BH11/'Hypothèses'!$D$19),0)</f>
      </c>
      <c r="BI12" s="2" t="e">
        <f>IF(BI10=1,MIN(1,BI11/'Hypothèses'!$D$19),0)</f>
      </c>
      <c r="BJ12" s="2" t="e">
        <f>IF(BJ10=1,MIN(1,BJ11/'Hypothèses'!$D$19),0)</f>
      </c>
      <c r="BK12" s="2" t="e">
        <f>IF(BK10=1,MIN(1,BK11/'Hypothèses'!$D$19),0)</f>
      </c>
      <c r="BL12" s="2" t="e">
        <f>AVERAGE(D12:O12)</f>
      </c>
      <c r="BM12" s="2" t="e">
        <f>AVERAGE(P12:AA12)</f>
      </c>
      <c r="BN12" s="2" t="e">
        <f>AVERAGE(AB12:AM12)</f>
      </c>
      <c r="BO12" s="2" t="e">
        <f>AVERAGE(AN12:AY12)</f>
      </c>
      <c r="BP12" s="2" t="e">
        <f>AVERAGE(AZ12:BK12)</f>
      </c>
    </row>
    <row r="13">
      <c r="A13" t="str">
        <v>Commercial salarié n°2 en poste (1/0)</v>
      </c>
      <c r="B13" t="str">
        <v>0/1</v>
      </c>
      <c r="C13" s="3">
        <v>0</v>
      </c>
      <c r="D13" s="3" t="e">
        <f>IF(1&gt;='Hypothèses'!$D$28,1,0)</f>
      </c>
      <c r="E13" s="3" t="e">
        <f>IF(2&gt;='Hypothèses'!$D$28,1,0)</f>
      </c>
      <c r="F13" s="3" t="e">
        <f>IF(3&gt;='Hypothèses'!$D$28,1,0)</f>
      </c>
      <c r="G13" s="3" t="e">
        <f>IF(4&gt;='Hypothèses'!$D$28,1,0)</f>
      </c>
      <c r="H13" s="3" t="e">
        <f>IF(5&gt;='Hypothèses'!$D$28,1,0)</f>
      </c>
      <c r="I13" s="3" t="e">
        <f>IF(6&gt;='Hypothèses'!$D$28,1,0)</f>
      </c>
      <c r="J13" s="3" t="e">
        <f>IF(7&gt;='Hypothèses'!$D$28,1,0)</f>
      </c>
      <c r="K13" s="3" t="e">
        <f>IF(8&gt;='Hypothèses'!$D$28,1,0)</f>
      </c>
      <c r="L13" s="3" t="e">
        <f>IF(9&gt;='Hypothèses'!$D$28,1,0)</f>
      </c>
      <c r="M13" s="3" t="e">
        <f>IF(10&gt;='Hypothèses'!$D$28,1,0)</f>
      </c>
      <c r="N13" s="3" t="e">
        <f>IF(11&gt;='Hypothèses'!$D$28,1,0)</f>
      </c>
      <c r="O13" s="3" t="e">
        <f>IF(12&gt;='Hypothèses'!$D$28,1,0)</f>
      </c>
      <c r="P13" s="3" t="e">
        <f>IF(13&gt;='Hypothèses'!$D$28,1,0)</f>
      </c>
      <c r="Q13" s="3" t="e">
        <f>IF(14&gt;='Hypothèses'!$D$28,1,0)</f>
      </c>
      <c r="R13" s="3" t="e">
        <f>IF(15&gt;='Hypothèses'!$D$28,1,0)</f>
      </c>
      <c r="S13" s="3" t="e">
        <f>IF(16&gt;='Hypothèses'!$D$28,1,0)</f>
      </c>
      <c r="T13" s="3" t="e">
        <f>IF(17&gt;='Hypothèses'!$D$28,1,0)</f>
      </c>
      <c r="U13" s="3" t="e">
        <f>IF(18&gt;='Hypothèses'!$D$28,1,0)</f>
      </c>
      <c r="V13" s="3" t="e">
        <f>IF(19&gt;='Hypothèses'!$D$28,1,0)</f>
      </c>
      <c r="W13" s="3" t="e">
        <f>IF(20&gt;='Hypothèses'!$D$28,1,0)</f>
      </c>
      <c r="X13" s="3" t="e">
        <f>IF(21&gt;='Hypothèses'!$D$28,1,0)</f>
      </c>
      <c r="Y13" s="3" t="e">
        <f>IF(22&gt;='Hypothèses'!$D$28,1,0)</f>
      </c>
      <c r="Z13" s="3" t="e">
        <f>IF(23&gt;='Hypothèses'!$D$28,1,0)</f>
      </c>
      <c r="AA13" s="3" t="e">
        <f>IF(24&gt;='Hypothèses'!$D$28,1,0)</f>
      </c>
      <c r="AB13" s="3" t="e">
        <f>IF(25&gt;='Hypothèses'!$D$28,1,0)</f>
      </c>
      <c r="AC13" s="3" t="e">
        <f>IF(26&gt;='Hypothèses'!$D$28,1,0)</f>
      </c>
      <c r="AD13" s="3" t="e">
        <f>IF(27&gt;='Hypothèses'!$D$28,1,0)</f>
      </c>
      <c r="AE13" s="3" t="e">
        <f>IF(28&gt;='Hypothèses'!$D$28,1,0)</f>
      </c>
      <c r="AF13" s="3" t="e">
        <f>IF(29&gt;='Hypothèses'!$D$28,1,0)</f>
      </c>
      <c r="AG13" s="3" t="e">
        <f>IF(30&gt;='Hypothèses'!$D$28,1,0)</f>
      </c>
      <c r="AH13" s="3" t="e">
        <f>IF(31&gt;='Hypothèses'!$D$28,1,0)</f>
      </c>
      <c r="AI13" s="3" t="e">
        <f>IF(32&gt;='Hypothèses'!$D$28,1,0)</f>
      </c>
      <c r="AJ13" s="3" t="e">
        <f>IF(33&gt;='Hypothèses'!$D$28,1,0)</f>
      </c>
      <c r="AK13" s="3" t="e">
        <f>IF(34&gt;='Hypothèses'!$D$28,1,0)</f>
      </c>
      <c r="AL13" s="3" t="e">
        <f>IF(35&gt;='Hypothèses'!$D$28,1,0)</f>
      </c>
      <c r="AM13" s="3" t="e">
        <f>IF(36&gt;='Hypothèses'!$D$28,1,0)</f>
      </c>
      <c r="AN13" s="3" t="e">
        <f>IF(37&gt;='Hypothèses'!$D$28,1,0)</f>
      </c>
      <c r="AO13" s="3" t="e">
        <f>IF(38&gt;='Hypothèses'!$D$28,1,0)</f>
      </c>
      <c r="AP13" s="3" t="e">
        <f>IF(39&gt;='Hypothèses'!$D$28,1,0)</f>
      </c>
      <c r="AQ13" s="3" t="e">
        <f>IF(40&gt;='Hypothèses'!$D$28,1,0)</f>
      </c>
      <c r="AR13" s="3" t="e">
        <f>IF(41&gt;='Hypothèses'!$D$28,1,0)</f>
      </c>
      <c r="AS13" s="3" t="e">
        <f>IF(42&gt;='Hypothèses'!$D$28,1,0)</f>
      </c>
      <c r="AT13" s="3" t="e">
        <f>IF(43&gt;='Hypothèses'!$D$28,1,0)</f>
      </c>
      <c r="AU13" s="3" t="e">
        <f>IF(44&gt;='Hypothèses'!$D$28,1,0)</f>
      </c>
      <c r="AV13" s="3" t="e">
        <f>IF(45&gt;='Hypothèses'!$D$28,1,0)</f>
      </c>
      <c r="AW13" s="3" t="e">
        <f>IF(46&gt;='Hypothèses'!$D$28,1,0)</f>
      </c>
      <c r="AX13" s="3" t="e">
        <f>IF(47&gt;='Hypothèses'!$D$28,1,0)</f>
      </c>
      <c r="AY13" s="3" t="e">
        <f>IF(48&gt;='Hypothèses'!$D$28,1,0)</f>
      </c>
      <c r="AZ13" s="3" t="e">
        <f>IF(49&gt;='Hypothèses'!$D$28,1,0)</f>
      </c>
      <c r="BA13" s="3" t="e">
        <f>IF(50&gt;='Hypothèses'!$D$28,1,0)</f>
      </c>
      <c r="BB13" s="3" t="e">
        <f>IF(51&gt;='Hypothèses'!$D$28,1,0)</f>
      </c>
      <c r="BC13" s="3" t="e">
        <f>IF(52&gt;='Hypothèses'!$D$28,1,0)</f>
      </c>
      <c r="BD13" s="3" t="e">
        <f>IF(53&gt;='Hypothèses'!$D$28,1,0)</f>
      </c>
      <c r="BE13" s="3" t="e">
        <f>IF(54&gt;='Hypothèses'!$D$28,1,0)</f>
      </c>
      <c r="BF13" s="3" t="e">
        <f>IF(55&gt;='Hypothèses'!$D$28,1,0)</f>
      </c>
      <c r="BG13" s="3" t="e">
        <f>IF(56&gt;='Hypothèses'!$D$28,1,0)</f>
      </c>
      <c r="BH13" s="3" t="e">
        <f>IF(57&gt;='Hypothèses'!$D$28,1,0)</f>
      </c>
      <c r="BI13" s="3" t="e">
        <f>IF(58&gt;='Hypothèses'!$D$28,1,0)</f>
      </c>
      <c r="BJ13" s="3" t="e">
        <f>IF(59&gt;='Hypothèses'!$D$28,1,0)</f>
      </c>
      <c r="BK13" s="3" t="e">
        <f>IF(60&gt;='Hypothèses'!$D$28,1,0)</f>
      </c>
      <c r="BL13" s="3" t="e">
        <f>O13</f>
      </c>
      <c r="BM13" s="3" t="e">
        <f>AA13</f>
      </c>
      <c r="BN13" s="3" t="e">
        <f>AM13</f>
      </c>
      <c r="BO13" s="3" t="e">
        <f>AY13</f>
      </c>
      <c r="BP13" s="3" t="e">
        <f>BK13</f>
      </c>
    </row>
    <row r="14">
      <c r="A14" t="str">
        <v>Commercial salarié n°2 — ancienneté</v>
      </c>
      <c r="B14" t="str">
        <v>mois</v>
      </c>
      <c r="C14" s="3">
        <v>0</v>
      </c>
      <c r="D14" s="3" t="e">
        <f>IF(D13=1,C14+1,0)</f>
      </c>
      <c r="E14" s="3" t="e">
        <f>IF(E13=1,D14+1,0)</f>
      </c>
      <c r="F14" s="3" t="e">
        <f>IF(F13=1,E14+1,0)</f>
      </c>
      <c r="G14" s="3" t="e">
        <f>IF(G13=1,F14+1,0)</f>
      </c>
      <c r="H14" s="3" t="e">
        <f>IF(H13=1,G14+1,0)</f>
      </c>
      <c r="I14" s="3" t="e">
        <f>IF(I13=1,H14+1,0)</f>
      </c>
      <c r="J14" s="3" t="e">
        <f>IF(J13=1,I14+1,0)</f>
      </c>
      <c r="K14" s="3" t="e">
        <f>IF(K13=1,J14+1,0)</f>
      </c>
      <c r="L14" s="3" t="e">
        <f>IF(L13=1,K14+1,0)</f>
      </c>
      <c r="M14" s="3" t="e">
        <f>IF(M13=1,L14+1,0)</f>
      </c>
      <c r="N14" s="3" t="e">
        <f>IF(N13=1,M14+1,0)</f>
      </c>
      <c r="O14" s="3" t="e">
        <f>IF(O13=1,N14+1,0)</f>
      </c>
      <c r="P14" s="3" t="e">
        <f>IF(P13=1,O14+1,0)</f>
      </c>
      <c r="Q14" s="3" t="e">
        <f>IF(Q13=1,P14+1,0)</f>
      </c>
      <c r="R14" s="3" t="e">
        <f>IF(R13=1,Q14+1,0)</f>
      </c>
      <c r="S14" s="3" t="e">
        <f>IF(S13=1,R14+1,0)</f>
      </c>
      <c r="T14" s="3" t="e">
        <f>IF(T13=1,S14+1,0)</f>
      </c>
      <c r="U14" s="3" t="e">
        <f>IF(U13=1,T14+1,0)</f>
      </c>
      <c r="V14" s="3" t="e">
        <f>IF(V13=1,U14+1,0)</f>
      </c>
      <c r="W14" s="3" t="e">
        <f>IF(W13=1,V14+1,0)</f>
      </c>
      <c r="X14" s="3" t="e">
        <f>IF(X13=1,W14+1,0)</f>
      </c>
      <c r="Y14" s="3" t="e">
        <f>IF(Y13=1,X14+1,0)</f>
      </c>
      <c r="Z14" s="3" t="e">
        <f>IF(Z13=1,Y14+1,0)</f>
      </c>
      <c r="AA14" s="3" t="e">
        <f>IF(AA13=1,Z14+1,0)</f>
      </c>
      <c r="AB14" s="3" t="e">
        <f>IF(AB13=1,AA14+1,0)</f>
      </c>
      <c r="AC14" s="3" t="e">
        <f>IF(AC13=1,AB14+1,0)</f>
      </c>
      <c r="AD14" s="3" t="e">
        <f>IF(AD13=1,AC14+1,0)</f>
      </c>
      <c r="AE14" s="3" t="e">
        <f>IF(AE13=1,AD14+1,0)</f>
      </c>
      <c r="AF14" s="3" t="e">
        <f>IF(AF13=1,AE14+1,0)</f>
      </c>
      <c r="AG14" s="3" t="e">
        <f>IF(AG13=1,AF14+1,0)</f>
      </c>
      <c r="AH14" s="3" t="e">
        <f>IF(AH13=1,AG14+1,0)</f>
      </c>
      <c r="AI14" s="3" t="e">
        <f>IF(AI13=1,AH14+1,0)</f>
      </c>
      <c r="AJ14" s="3" t="e">
        <f>IF(AJ13=1,AI14+1,0)</f>
      </c>
      <c r="AK14" s="3" t="e">
        <f>IF(AK13=1,AJ14+1,0)</f>
      </c>
      <c r="AL14" s="3" t="e">
        <f>IF(AL13=1,AK14+1,0)</f>
      </c>
      <c r="AM14" s="3" t="e">
        <f>IF(AM13=1,AL14+1,0)</f>
      </c>
      <c r="AN14" s="3" t="e">
        <f>IF(AN13=1,AM14+1,0)</f>
      </c>
      <c r="AO14" s="3" t="e">
        <f>IF(AO13=1,AN14+1,0)</f>
      </c>
      <c r="AP14" s="3" t="e">
        <f>IF(AP13=1,AO14+1,0)</f>
      </c>
      <c r="AQ14" s="3" t="e">
        <f>IF(AQ13=1,AP14+1,0)</f>
      </c>
      <c r="AR14" s="3" t="e">
        <f>IF(AR13=1,AQ14+1,0)</f>
      </c>
      <c r="AS14" s="3" t="e">
        <f>IF(AS13=1,AR14+1,0)</f>
      </c>
      <c r="AT14" s="3" t="e">
        <f>IF(AT13=1,AS14+1,0)</f>
      </c>
      <c r="AU14" s="3" t="e">
        <f>IF(AU13=1,AT14+1,0)</f>
      </c>
      <c r="AV14" s="3" t="e">
        <f>IF(AV13=1,AU14+1,0)</f>
      </c>
      <c r="AW14" s="3" t="e">
        <f>IF(AW13=1,AV14+1,0)</f>
      </c>
      <c r="AX14" s="3" t="e">
        <f>IF(AX13=1,AW14+1,0)</f>
      </c>
      <c r="AY14" s="3" t="e">
        <f>IF(AY13=1,AX14+1,0)</f>
      </c>
      <c r="AZ14" s="3" t="e">
        <f>IF(AZ13=1,AY14+1,0)</f>
      </c>
      <c r="BA14" s="3" t="e">
        <f>IF(BA13=1,AZ14+1,0)</f>
      </c>
      <c r="BB14" s="3" t="e">
        <f>IF(BB13=1,BA14+1,0)</f>
      </c>
      <c r="BC14" s="3" t="e">
        <f>IF(BC13=1,BB14+1,0)</f>
      </c>
      <c r="BD14" s="3" t="e">
        <f>IF(BD13=1,BC14+1,0)</f>
      </c>
      <c r="BE14" s="3" t="e">
        <f>IF(BE13=1,BD14+1,0)</f>
      </c>
      <c r="BF14" s="3" t="e">
        <f>IF(BF13=1,BE14+1,0)</f>
      </c>
      <c r="BG14" s="3" t="e">
        <f>IF(BG13=1,BF14+1,0)</f>
      </c>
      <c r="BH14" s="3" t="e">
        <f>IF(BH13=1,BG14+1,0)</f>
      </c>
      <c r="BI14" s="3" t="e">
        <f>IF(BI13=1,BH14+1,0)</f>
      </c>
      <c r="BJ14" s="3" t="e">
        <f>IF(BJ13=1,BI14+1,0)</f>
      </c>
      <c r="BK14" s="3" t="e">
        <f>IF(BK13=1,BJ14+1,0)</f>
      </c>
      <c r="BL14" s="3" t="e">
        <f>O14</f>
      </c>
      <c r="BM14" s="3" t="e">
        <f>AA14</f>
      </c>
      <c r="BN14" s="3" t="e">
        <f>AM14</f>
      </c>
      <c r="BO14" s="3" t="e">
        <f>AY14</f>
      </c>
      <c r="BP14" s="3" t="e">
        <f>BK14</f>
      </c>
    </row>
    <row r="15">
      <c r="A15" t="str">
        <v>Commercial salarié n°2 — productivité (ramp)</v>
      </c>
      <c r="B15" t="str">
        <v>%</v>
      </c>
      <c r="C15" s="2">
        <v>0</v>
      </c>
      <c r="D15" s="2" t="e">
        <f>IF(D13=1,MIN(1,D14/'Hypothèses'!$D$19),0)</f>
      </c>
      <c r="E15" s="2" t="e">
        <f>IF(E13=1,MIN(1,E14/'Hypothèses'!$D$19),0)</f>
      </c>
      <c r="F15" s="2" t="e">
        <f>IF(F13=1,MIN(1,F14/'Hypothèses'!$D$19),0)</f>
      </c>
      <c r="G15" s="2" t="e">
        <f>IF(G13=1,MIN(1,G14/'Hypothèses'!$D$19),0)</f>
      </c>
      <c r="H15" s="2" t="e">
        <f>IF(H13=1,MIN(1,H14/'Hypothèses'!$D$19),0)</f>
      </c>
      <c r="I15" s="2" t="e">
        <f>IF(I13=1,MIN(1,I14/'Hypothèses'!$D$19),0)</f>
      </c>
      <c r="J15" s="2" t="e">
        <f>IF(J13=1,MIN(1,J14/'Hypothèses'!$D$19),0)</f>
      </c>
      <c r="K15" s="2" t="e">
        <f>IF(K13=1,MIN(1,K14/'Hypothèses'!$D$19),0)</f>
      </c>
      <c r="L15" s="2" t="e">
        <f>IF(L13=1,MIN(1,L14/'Hypothèses'!$D$19),0)</f>
      </c>
      <c r="M15" s="2" t="e">
        <f>IF(M13=1,MIN(1,M14/'Hypothèses'!$D$19),0)</f>
      </c>
      <c r="N15" s="2" t="e">
        <f>IF(N13=1,MIN(1,N14/'Hypothèses'!$D$19),0)</f>
      </c>
      <c r="O15" s="2" t="e">
        <f>IF(O13=1,MIN(1,O14/'Hypothèses'!$D$19),0)</f>
      </c>
      <c r="P15" s="2" t="e">
        <f>IF(P13=1,MIN(1,P14/'Hypothèses'!$D$19),0)</f>
      </c>
      <c r="Q15" s="2" t="e">
        <f>IF(Q13=1,MIN(1,Q14/'Hypothèses'!$D$19),0)</f>
      </c>
      <c r="R15" s="2" t="e">
        <f>IF(R13=1,MIN(1,R14/'Hypothèses'!$D$19),0)</f>
      </c>
      <c r="S15" s="2" t="e">
        <f>IF(S13=1,MIN(1,S14/'Hypothèses'!$D$19),0)</f>
      </c>
      <c r="T15" s="2" t="e">
        <f>IF(T13=1,MIN(1,T14/'Hypothèses'!$D$19),0)</f>
      </c>
      <c r="U15" s="2" t="e">
        <f>IF(U13=1,MIN(1,U14/'Hypothèses'!$D$19),0)</f>
      </c>
      <c r="V15" s="2" t="e">
        <f>IF(V13=1,MIN(1,V14/'Hypothèses'!$D$19),0)</f>
      </c>
      <c r="W15" s="2" t="e">
        <f>IF(W13=1,MIN(1,W14/'Hypothèses'!$D$19),0)</f>
      </c>
      <c r="X15" s="2" t="e">
        <f>IF(X13=1,MIN(1,X14/'Hypothèses'!$D$19),0)</f>
      </c>
      <c r="Y15" s="2" t="e">
        <f>IF(Y13=1,MIN(1,Y14/'Hypothèses'!$D$19),0)</f>
      </c>
      <c r="Z15" s="2" t="e">
        <f>IF(Z13=1,MIN(1,Z14/'Hypothèses'!$D$19),0)</f>
      </c>
      <c r="AA15" s="2" t="e">
        <f>IF(AA13=1,MIN(1,AA14/'Hypothèses'!$D$19),0)</f>
      </c>
      <c r="AB15" s="2" t="e">
        <f>IF(AB13=1,MIN(1,AB14/'Hypothèses'!$D$19),0)</f>
      </c>
      <c r="AC15" s="2" t="e">
        <f>IF(AC13=1,MIN(1,AC14/'Hypothèses'!$D$19),0)</f>
      </c>
      <c r="AD15" s="2" t="e">
        <f>IF(AD13=1,MIN(1,AD14/'Hypothèses'!$D$19),0)</f>
      </c>
      <c r="AE15" s="2" t="e">
        <f>IF(AE13=1,MIN(1,AE14/'Hypothèses'!$D$19),0)</f>
      </c>
      <c r="AF15" s="2" t="e">
        <f>IF(AF13=1,MIN(1,AF14/'Hypothèses'!$D$19),0)</f>
      </c>
      <c r="AG15" s="2" t="e">
        <f>IF(AG13=1,MIN(1,AG14/'Hypothèses'!$D$19),0)</f>
      </c>
      <c r="AH15" s="2" t="e">
        <f>IF(AH13=1,MIN(1,AH14/'Hypothèses'!$D$19),0)</f>
      </c>
      <c r="AI15" s="2" t="e">
        <f>IF(AI13=1,MIN(1,AI14/'Hypothèses'!$D$19),0)</f>
      </c>
      <c r="AJ15" s="2" t="e">
        <f>IF(AJ13=1,MIN(1,AJ14/'Hypothèses'!$D$19),0)</f>
      </c>
      <c r="AK15" s="2" t="e">
        <f>IF(AK13=1,MIN(1,AK14/'Hypothèses'!$D$19),0)</f>
      </c>
      <c r="AL15" s="2" t="e">
        <f>IF(AL13=1,MIN(1,AL14/'Hypothèses'!$D$19),0)</f>
      </c>
      <c r="AM15" s="2" t="e">
        <f>IF(AM13=1,MIN(1,AM14/'Hypothèses'!$D$19),0)</f>
      </c>
      <c r="AN15" s="2" t="e">
        <f>IF(AN13=1,MIN(1,AN14/'Hypothèses'!$D$19),0)</f>
      </c>
      <c r="AO15" s="2" t="e">
        <f>IF(AO13=1,MIN(1,AO14/'Hypothèses'!$D$19),0)</f>
      </c>
      <c r="AP15" s="2" t="e">
        <f>IF(AP13=1,MIN(1,AP14/'Hypothèses'!$D$19),0)</f>
      </c>
      <c r="AQ15" s="2" t="e">
        <f>IF(AQ13=1,MIN(1,AQ14/'Hypothèses'!$D$19),0)</f>
      </c>
      <c r="AR15" s="2" t="e">
        <f>IF(AR13=1,MIN(1,AR14/'Hypothèses'!$D$19),0)</f>
      </c>
      <c r="AS15" s="2" t="e">
        <f>IF(AS13=1,MIN(1,AS14/'Hypothèses'!$D$19),0)</f>
      </c>
      <c r="AT15" s="2" t="e">
        <f>IF(AT13=1,MIN(1,AT14/'Hypothèses'!$D$19),0)</f>
      </c>
      <c r="AU15" s="2" t="e">
        <f>IF(AU13=1,MIN(1,AU14/'Hypothèses'!$D$19),0)</f>
      </c>
      <c r="AV15" s="2" t="e">
        <f>IF(AV13=1,MIN(1,AV14/'Hypothèses'!$D$19),0)</f>
      </c>
      <c r="AW15" s="2" t="e">
        <f>IF(AW13=1,MIN(1,AW14/'Hypothèses'!$D$19),0)</f>
      </c>
      <c r="AX15" s="2" t="e">
        <f>IF(AX13=1,MIN(1,AX14/'Hypothèses'!$D$19),0)</f>
      </c>
      <c r="AY15" s="2" t="e">
        <f>IF(AY13=1,MIN(1,AY14/'Hypothèses'!$D$19),0)</f>
      </c>
      <c r="AZ15" s="2" t="e">
        <f>IF(AZ13=1,MIN(1,AZ14/'Hypothèses'!$D$19),0)</f>
      </c>
      <c r="BA15" s="2" t="e">
        <f>IF(BA13=1,MIN(1,BA14/'Hypothèses'!$D$19),0)</f>
      </c>
      <c r="BB15" s="2" t="e">
        <f>IF(BB13=1,MIN(1,BB14/'Hypothèses'!$D$19),0)</f>
      </c>
      <c r="BC15" s="2" t="e">
        <f>IF(BC13=1,MIN(1,BC14/'Hypothèses'!$D$19),0)</f>
      </c>
      <c r="BD15" s="2" t="e">
        <f>IF(BD13=1,MIN(1,BD14/'Hypothèses'!$D$19),0)</f>
      </c>
      <c r="BE15" s="2" t="e">
        <f>IF(BE13=1,MIN(1,BE14/'Hypothèses'!$D$19),0)</f>
      </c>
      <c r="BF15" s="2" t="e">
        <f>IF(BF13=1,MIN(1,BF14/'Hypothèses'!$D$19),0)</f>
      </c>
      <c r="BG15" s="2" t="e">
        <f>IF(BG13=1,MIN(1,BG14/'Hypothèses'!$D$19),0)</f>
      </c>
      <c r="BH15" s="2" t="e">
        <f>IF(BH13=1,MIN(1,BH14/'Hypothèses'!$D$19),0)</f>
      </c>
      <c r="BI15" s="2" t="e">
        <f>IF(BI13=1,MIN(1,BI14/'Hypothèses'!$D$19),0)</f>
      </c>
      <c r="BJ15" s="2" t="e">
        <f>IF(BJ13=1,MIN(1,BJ14/'Hypothèses'!$D$19),0)</f>
      </c>
      <c r="BK15" s="2" t="e">
        <f>IF(BK13=1,MIN(1,BK14/'Hypothèses'!$D$19),0)</f>
      </c>
      <c r="BL15" s="2" t="e">
        <f>AVERAGE(D15:O15)</f>
      </c>
      <c r="BM15" s="2" t="e">
        <f>AVERAGE(P15:AA15)</f>
      </c>
      <c r="BN15" s="2" t="e">
        <f>AVERAGE(AB15:AM15)</f>
      </c>
      <c r="BO15" s="2" t="e">
        <f>AVERAGE(AN15:AY15)</f>
      </c>
      <c r="BP15" s="2" t="e">
        <f>AVERAGE(AZ15:BK15)</f>
      </c>
    </row>
    <row r="16">
      <c r="A16" t="str">
        <v>Commercial salarié n°3 en poste (1/0)</v>
      </c>
      <c r="B16" t="str">
        <v>0/1</v>
      </c>
      <c r="C16" s="3">
        <v>0</v>
      </c>
      <c r="D16" s="3" t="e">
        <f>IF(1&gt;='Hypothèses'!$D$29,1,0)</f>
      </c>
      <c r="E16" s="3" t="e">
        <f>IF(2&gt;='Hypothèses'!$D$29,1,0)</f>
      </c>
      <c r="F16" s="3" t="e">
        <f>IF(3&gt;='Hypothèses'!$D$29,1,0)</f>
      </c>
      <c r="G16" s="3" t="e">
        <f>IF(4&gt;='Hypothèses'!$D$29,1,0)</f>
      </c>
      <c r="H16" s="3" t="e">
        <f>IF(5&gt;='Hypothèses'!$D$29,1,0)</f>
      </c>
      <c r="I16" s="3" t="e">
        <f>IF(6&gt;='Hypothèses'!$D$29,1,0)</f>
      </c>
      <c r="J16" s="3" t="e">
        <f>IF(7&gt;='Hypothèses'!$D$29,1,0)</f>
      </c>
      <c r="K16" s="3" t="e">
        <f>IF(8&gt;='Hypothèses'!$D$29,1,0)</f>
      </c>
      <c r="L16" s="3" t="e">
        <f>IF(9&gt;='Hypothèses'!$D$29,1,0)</f>
      </c>
      <c r="M16" s="3" t="e">
        <f>IF(10&gt;='Hypothèses'!$D$29,1,0)</f>
      </c>
      <c r="N16" s="3" t="e">
        <f>IF(11&gt;='Hypothèses'!$D$29,1,0)</f>
      </c>
      <c r="O16" s="3" t="e">
        <f>IF(12&gt;='Hypothèses'!$D$29,1,0)</f>
      </c>
      <c r="P16" s="3" t="e">
        <f>IF(13&gt;='Hypothèses'!$D$29,1,0)</f>
      </c>
      <c r="Q16" s="3" t="e">
        <f>IF(14&gt;='Hypothèses'!$D$29,1,0)</f>
      </c>
      <c r="R16" s="3" t="e">
        <f>IF(15&gt;='Hypothèses'!$D$29,1,0)</f>
      </c>
      <c r="S16" s="3" t="e">
        <f>IF(16&gt;='Hypothèses'!$D$29,1,0)</f>
      </c>
      <c r="T16" s="3" t="e">
        <f>IF(17&gt;='Hypothèses'!$D$29,1,0)</f>
      </c>
      <c r="U16" s="3" t="e">
        <f>IF(18&gt;='Hypothèses'!$D$29,1,0)</f>
      </c>
      <c r="V16" s="3" t="e">
        <f>IF(19&gt;='Hypothèses'!$D$29,1,0)</f>
      </c>
      <c r="W16" s="3" t="e">
        <f>IF(20&gt;='Hypothèses'!$D$29,1,0)</f>
      </c>
      <c r="X16" s="3" t="e">
        <f>IF(21&gt;='Hypothèses'!$D$29,1,0)</f>
      </c>
      <c r="Y16" s="3" t="e">
        <f>IF(22&gt;='Hypothèses'!$D$29,1,0)</f>
      </c>
      <c r="Z16" s="3" t="e">
        <f>IF(23&gt;='Hypothèses'!$D$29,1,0)</f>
      </c>
      <c r="AA16" s="3" t="e">
        <f>IF(24&gt;='Hypothèses'!$D$29,1,0)</f>
      </c>
      <c r="AB16" s="3" t="e">
        <f>IF(25&gt;='Hypothèses'!$D$29,1,0)</f>
      </c>
      <c r="AC16" s="3" t="e">
        <f>IF(26&gt;='Hypothèses'!$D$29,1,0)</f>
      </c>
      <c r="AD16" s="3" t="e">
        <f>IF(27&gt;='Hypothèses'!$D$29,1,0)</f>
      </c>
      <c r="AE16" s="3" t="e">
        <f>IF(28&gt;='Hypothèses'!$D$29,1,0)</f>
      </c>
      <c r="AF16" s="3" t="e">
        <f>IF(29&gt;='Hypothèses'!$D$29,1,0)</f>
      </c>
      <c r="AG16" s="3" t="e">
        <f>IF(30&gt;='Hypothèses'!$D$29,1,0)</f>
      </c>
      <c r="AH16" s="3" t="e">
        <f>IF(31&gt;='Hypothèses'!$D$29,1,0)</f>
      </c>
      <c r="AI16" s="3" t="e">
        <f>IF(32&gt;='Hypothèses'!$D$29,1,0)</f>
      </c>
      <c r="AJ16" s="3" t="e">
        <f>IF(33&gt;='Hypothèses'!$D$29,1,0)</f>
      </c>
      <c r="AK16" s="3" t="e">
        <f>IF(34&gt;='Hypothèses'!$D$29,1,0)</f>
      </c>
      <c r="AL16" s="3" t="e">
        <f>IF(35&gt;='Hypothèses'!$D$29,1,0)</f>
      </c>
      <c r="AM16" s="3" t="e">
        <f>IF(36&gt;='Hypothèses'!$D$29,1,0)</f>
      </c>
      <c r="AN16" s="3" t="e">
        <f>IF(37&gt;='Hypothèses'!$D$29,1,0)</f>
      </c>
      <c r="AO16" s="3" t="e">
        <f>IF(38&gt;='Hypothèses'!$D$29,1,0)</f>
      </c>
      <c r="AP16" s="3" t="e">
        <f>IF(39&gt;='Hypothèses'!$D$29,1,0)</f>
      </c>
      <c r="AQ16" s="3" t="e">
        <f>IF(40&gt;='Hypothèses'!$D$29,1,0)</f>
      </c>
      <c r="AR16" s="3" t="e">
        <f>IF(41&gt;='Hypothèses'!$D$29,1,0)</f>
      </c>
      <c r="AS16" s="3" t="e">
        <f>IF(42&gt;='Hypothèses'!$D$29,1,0)</f>
      </c>
      <c r="AT16" s="3" t="e">
        <f>IF(43&gt;='Hypothèses'!$D$29,1,0)</f>
      </c>
      <c r="AU16" s="3" t="e">
        <f>IF(44&gt;='Hypothèses'!$D$29,1,0)</f>
      </c>
      <c r="AV16" s="3" t="e">
        <f>IF(45&gt;='Hypothèses'!$D$29,1,0)</f>
      </c>
      <c r="AW16" s="3" t="e">
        <f>IF(46&gt;='Hypothèses'!$D$29,1,0)</f>
      </c>
      <c r="AX16" s="3" t="e">
        <f>IF(47&gt;='Hypothèses'!$D$29,1,0)</f>
      </c>
      <c r="AY16" s="3" t="e">
        <f>IF(48&gt;='Hypothèses'!$D$29,1,0)</f>
      </c>
      <c r="AZ16" s="3" t="e">
        <f>IF(49&gt;='Hypothèses'!$D$29,1,0)</f>
      </c>
      <c r="BA16" s="3" t="e">
        <f>IF(50&gt;='Hypothèses'!$D$29,1,0)</f>
      </c>
      <c r="BB16" s="3" t="e">
        <f>IF(51&gt;='Hypothèses'!$D$29,1,0)</f>
      </c>
      <c r="BC16" s="3" t="e">
        <f>IF(52&gt;='Hypothèses'!$D$29,1,0)</f>
      </c>
      <c r="BD16" s="3" t="e">
        <f>IF(53&gt;='Hypothèses'!$D$29,1,0)</f>
      </c>
      <c r="BE16" s="3" t="e">
        <f>IF(54&gt;='Hypothèses'!$D$29,1,0)</f>
      </c>
      <c r="BF16" s="3" t="e">
        <f>IF(55&gt;='Hypothèses'!$D$29,1,0)</f>
      </c>
      <c r="BG16" s="3" t="e">
        <f>IF(56&gt;='Hypothèses'!$D$29,1,0)</f>
      </c>
      <c r="BH16" s="3" t="e">
        <f>IF(57&gt;='Hypothèses'!$D$29,1,0)</f>
      </c>
      <c r="BI16" s="3" t="e">
        <f>IF(58&gt;='Hypothèses'!$D$29,1,0)</f>
      </c>
      <c r="BJ16" s="3" t="e">
        <f>IF(59&gt;='Hypothèses'!$D$29,1,0)</f>
      </c>
      <c r="BK16" s="3" t="e">
        <f>IF(60&gt;='Hypothèses'!$D$29,1,0)</f>
      </c>
      <c r="BL16" s="3" t="e">
        <f>O16</f>
      </c>
      <c r="BM16" s="3" t="e">
        <f>AA16</f>
      </c>
      <c r="BN16" s="3" t="e">
        <f>AM16</f>
      </c>
      <c r="BO16" s="3" t="e">
        <f>AY16</f>
      </c>
      <c r="BP16" s="3" t="e">
        <f>BK16</f>
      </c>
    </row>
    <row r="17">
      <c r="A17" t="str">
        <v>Commercial salarié n°3 — ancienneté</v>
      </c>
      <c r="B17" t="str">
        <v>mois</v>
      </c>
      <c r="C17" s="3">
        <v>0</v>
      </c>
      <c r="D17" s="3" t="e">
        <f>IF(D16=1,C17+1,0)</f>
      </c>
      <c r="E17" s="3" t="e">
        <f>IF(E16=1,D17+1,0)</f>
      </c>
      <c r="F17" s="3" t="e">
        <f>IF(F16=1,E17+1,0)</f>
      </c>
      <c r="G17" s="3" t="e">
        <f>IF(G16=1,F17+1,0)</f>
      </c>
      <c r="H17" s="3" t="e">
        <f>IF(H16=1,G17+1,0)</f>
      </c>
      <c r="I17" s="3" t="e">
        <f>IF(I16=1,H17+1,0)</f>
      </c>
      <c r="J17" s="3" t="e">
        <f>IF(J16=1,I17+1,0)</f>
      </c>
      <c r="K17" s="3" t="e">
        <f>IF(K16=1,J17+1,0)</f>
      </c>
      <c r="L17" s="3" t="e">
        <f>IF(L16=1,K17+1,0)</f>
      </c>
      <c r="M17" s="3" t="e">
        <f>IF(M16=1,L17+1,0)</f>
      </c>
      <c r="N17" s="3" t="e">
        <f>IF(N16=1,M17+1,0)</f>
      </c>
      <c r="O17" s="3" t="e">
        <f>IF(O16=1,N17+1,0)</f>
      </c>
      <c r="P17" s="3" t="e">
        <f>IF(P16=1,O17+1,0)</f>
      </c>
      <c r="Q17" s="3" t="e">
        <f>IF(Q16=1,P17+1,0)</f>
      </c>
      <c r="R17" s="3" t="e">
        <f>IF(R16=1,Q17+1,0)</f>
      </c>
      <c r="S17" s="3" t="e">
        <f>IF(S16=1,R17+1,0)</f>
      </c>
      <c r="T17" s="3" t="e">
        <f>IF(T16=1,S17+1,0)</f>
      </c>
      <c r="U17" s="3" t="e">
        <f>IF(U16=1,T17+1,0)</f>
      </c>
      <c r="V17" s="3" t="e">
        <f>IF(V16=1,U17+1,0)</f>
      </c>
      <c r="W17" s="3" t="e">
        <f>IF(W16=1,V17+1,0)</f>
      </c>
      <c r="X17" s="3" t="e">
        <f>IF(X16=1,W17+1,0)</f>
      </c>
      <c r="Y17" s="3" t="e">
        <f>IF(Y16=1,X17+1,0)</f>
      </c>
      <c r="Z17" s="3" t="e">
        <f>IF(Z16=1,Y17+1,0)</f>
      </c>
      <c r="AA17" s="3" t="e">
        <f>IF(AA16=1,Z17+1,0)</f>
      </c>
      <c r="AB17" s="3" t="e">
        <f>IF(AB16=1,AA17+1,0)</f>
      </c>
      <c r="AC17" s="3" t="e">
        <f>IF(AC16=1,AB17+1,0)</f>
      </c>
      <c r="AD17" s="3" t="e">
        <f>IF(AD16=1,AC17+1,0)</f>
      </c>
      <c r="AE17" s="3" t="e">
        <f>IF(AE16=1,AD17+1,0)</f>
      </c>
      <c r="AF17" s="3" t="e">
        <f>IF(AF16=1,AE17+1,0)</f>
      </c>
      <c r="AG17" s="3" t="e">
        <f>IF(AG16=1,AF17+1,0)</f>
      </c>
      <c r="AH17" s="3" t="e">
        <f>IF(AH16=1,AG17+1,0)</f>
      </c>
      <c r="AI17" s="3" t="e">
        <f>IF(AI16=1,AH17+1,0)</f>
      </c>
      <c r="AJ17" s="3" t="e">
        <f>IF(AJ16=1,AI17+1,0)</f>
      </c>
      <c r="AK17" s="3" t="e">
        <f>IF(AK16=1,AJ17+1,0)</f>
      </c>
      <c r="AL17" s="3" t="e">
        <f>IF(AL16=1,AK17+1,0)</f>
      </c>
      <c r="AM17" s="3" t="e">
        <f>IF(AM16=1,AL17+1,0)</f>
      </c>
      <c r="AN17" s="3" t="e">
        <f>IF(AN16=1,AM17+1,0)</f>
      </c>
      <c r="AO17" s="3" t="e">
        <f>IF(AO16=1,AN17+1,0)</f>
      </c>
      <c r="AP17" s="3" t="e">
        <f>IF(AP16=1,AO17+1,0)</f>
      </c>
      <c r="AQ17" s="3" t="e">
        <f>IF(AQ16=1,AP17+1,0)</f>
      </c>
      <c r="AR17" s="3" t="e">
        <f>IF(AR16=1,AQ17+1,0)</f>
      </c>
      <c r="AS17" s="3" t="e">
        <f>IF(AS16=1,AR17+1,0)</f>
      </c>
      <c r="AT17" s="3" t="e">
        <f>IF(AT16=1,AS17+1,0)</f>
      </c>
      <c r="AU17" s="3" t="e">
        <f>IF(AU16=1,AT17+1,0)</f>
      </c>
      <c r="AV17" s="3" t="e">
        <f>IF(AV16=1,AU17+1,0)</f>
      </c>
      <c r="AW17" s="3" t="e">
        <f>IF(AW16=1,AV17+1,0)</f>
      </c>
      <c r="AX17" s="3" t="e">
        <f>IF(AX16=1,AW17+1,0)</f>
      </c>
      <c r="AY17" s="3" t="e">
        <f>IF(AY16=1,AX17+1,0)</f>
      </c>
      <c r="AZ17" s="3" t="e">
        <f>IF(AZ16=1,AY17+1,0)</f>
      </c>
      <c r="BA17" s="3" t="e">
        <f>IF(BA16=1,AZ17+1,0)</f>
      </c>
      <c r="BB17" s="3" t="e">
        <f>IF(BB16=1,BA17+1,0)</f>
      </c>
      <c r="BC17" s="3" t="e">
        <f>IF(BC16=1,BB17+1,0)</f>
      </c>
      <c r="BD17" s="3" t="e">
        <f>IF(BD16=1,BC17+1,0)</f>
      </c>
      <c r="BE17" s="3" t="e">
        <f>IF(BE16=1,BD17+1,0)</f>
      </c>
      <c r="BF17" s="3" t="e">
        <f>IF(BF16=1,BE17+1,0)</f>
      </c>
      <c r="BG17" s="3" t="e">
        <f>IF(BG16=1,BF17+1,0)</f>
      </c>
      <c r="BH17" s="3" t="e">
        <f>IF(BH16=1,BG17+1,0)</f>
      </c>
      <c r="BI17" s="3" t="e">
        <f>IF(BI16=1,BH17+1,0)</f>
      </c>
      <c r="BJ17" s="3" t="e">
        <f>IF(BJ16=1,BI17+1,0)</f>
      </c>
      <c r="BK17" s="3" t="e">
        <f>IF(BK16=1,BJ17+1,0)</f>
      </c>
      <c r="BL17" s="3" t="e">
        <f>O17</f>
      </c>
      <c r="BM17" s="3" t="e">
        <f>AA17</f>
      </c>
      <c r="BN17" s="3" t="e">
        <f>AM17</f>
      </c>
      <c r="BO17" s="3" t="e">
        <f>AY17</f>
      </c>
      <c r="BP17" s="3" t="e">
        <f>BK17</f>
      </c>
    </row>
    <row r="18">
      <c r="A18" t="str">
        <v>Commercial salarié n°3 — productivité (ramp)</v>
      </c>
      <c r="B18" t="str">
        <v>%</v>
      </c>
      <c r="C18" s="2">
        <v>0</v>
      </c>
      <c r="D18" s="2" t="e">
        <f>IF(D16=1,MIN(1,D17/'Hypothèses'!$D$19),0)</f>
      </c>
      <c r="E18" s="2" t="e">
        <f>IF(E16=1,MIN(1,E17/'Hypothèses'!$D$19),0)</f>
      </c>
      <c r="F18" s="2" t="e">
        <f>IF(F16=1,MIN(1,F17/'Hypothèses'!$D$19),0)</f>
      </c>
      <c r="G18" s="2" t="e">
        <f>IF(G16=1,MIN(1,G17/'Hypothèses'!$D$19),0)</f>
      </c>
      <c r="H18" s="2" t="e">
        <f>IF(H16=1,MIN(1,H17/'Hypothèses'!$D$19),0)</f>
      </c>
      <c r="I18" s="2" t="e">
        <f>IF(I16=1,MIN(1,I17/'Hypothèses'!$D$19),0)</f>
      </c>
      <c r="J18" s="2" t="e">
        <f>IF(J16=1,MIN(1,J17/'Hypothèses'!$D$19),0)</f>
      </c>
      <c r="K18" s="2" t="e">
        <f>IF(K16=1,MIN(1,K17/'Hypothèses'!$D$19),0)</f>
      </c>
      <c r="L18" s="2" t="e">
        <f>IF(L16=1,MIN(1,L17/'Hypothèses'!$D$19),0)</f>
      </c>
      <c r="M18" s="2" t="e">
        <f>IF(M16=1,MIN(1,M17/'Hypothèses'!$D$19),0)</f>
      </c>
      <c r="N18" s="2" t="e">
        <f>IF(N16=1,MIN(1,N17/'Hypothèses'!$D$19),0)</f>
      </c>
      <c r="O18" s="2" t="e">
        <f>IF(O16=1,MIN(1,O17/'Hypothèses'!$D$19),0)</f>
      </c>
      <c r="P18" s="2" t="e">
        <f>IF(P16=1,MIN(1,P17/'Hypothèses'!$D$19),0)</f>
      </c>
      <c r="Q18" s="2" t="e">
        <f>IF(Q16=1,MIN(1,Q17/'Hypothèses'!$D$19),0)</f>
      </c>
      <c r="R18" s="2" t="e">
        <f>IF(R16=1,MIN(1,R17/'Hypothèses'!$D$19),0)</f>
      </c>
      <c r="S18" s="2" t="e">
        <f>IF(S16=1,MIN(1,S17/'Hypothèses'!$D$19),0)</f>
      </c>
      <c r="T18" s="2" t="e">
        <f>IF(T16=1,MIN(1,T17/'Hypothèses'!$D$19),0)</f>
      </c>
      <c r="U18" s="2" t="e">
        <f>IF(U16=1,MIN(1,U17/'Hypothèses'!$D$19),0)</f>
      </c>
      <c r="V18" s="2" t="e">
        <f>IF(V16=1,MIN(1,V17/'Hypothèses'!$D$19),0)</f>
      </c>
      <c r="W18" s="2" t="e">
        <f>IF(W16=1,MIN(1,W17/'Hypothèses'!$D$19),0)</f>
      </c>
      <c r="X18" s="2" t="e">
        <f>IF(X16=1,MIN(1,X17/'Hypothèses'!$D$19),0)</f>
      </c>
      <c r="Y18" s="2" t="e">
        <f>IF(Y16=1,MIN(1,Y17/'Hypothèses'!$D$19),0)</f>
      </c>
      <c r="Z18" s="2" t="e">
        <f>IF(Z16=1,MIN(1,Z17/'Hypothèses'!$D$19),0)</f>
      </c>
      <c r="AA18" s="2" t="e">
        <f>IF(AA16=1,MIN(1,AA17/'Hypothèses'!$D$19),0)</f>
      </c>
      <c r="AB18" s="2" t="e">
        <f>IF(AB16=1,MIN(1,AB17/'Hypothèses'!$D$19),0)</f>
      </c>
      <c r="AC18" s="2" t="e">
        <f>IF(AC16=1,MIN(1,AC17/'Hypothèses'!$D$19),0)</f>
      </c>
      <c r="AD18" s="2" t="e">
        <f>IF(AD16=1,MIN(1,AD17/'Hypothèses'!$D$19),0)</f>
      </c>
      <c r="AE18" s="2" t="e">
        <f>IF(AE16=1,MIN(1,AE17/'Hypothèses'!$D$19),0)</f>
      </c>
      <c r="AF18" s="2" t="e">
        <f>IF(AF16=1,MIN(1,AF17/'Hypothèses'!$D$19),0)</f>
      </c>
      <c r="AG18" s="2" t="e">
        <f>IF(AG16=1,MIN(1,AG17/'Hypothèses'!$D$19),0)</f>
      </c>
      <c r="AH18" s="2" t="e">
        <f>IF(AH16=1,MIN(1,AH17/'Hypothèses'!$D$19),0)</f>
      </c>
      <c r="AI18" s="2" t="e">
        <f>IF(AI16=1,MIN(1,AI17/'Hypothèses'!$D$19),0)</f>
      </c>
      <c r="AJ18" s="2" t="e">
        <f>IF(AJ16=1,MIN(1,AJ17/'Hypothèses'!$D$19),0)</f>
      </c>
      <c r="AK18" s="2" t="e">
        <f>IF(AK16=1,MIN(1,AK17/'Hypothèses'!$D$19),0)</f>
      </c>
      <c r="AL18" s="2" t="e">
        <f>IF(AL16=1,MIN(1,AL17/'Hypothèses'!$D$19),0)</f>
      </c>
      <c r="AM18" s="2" t="e">
        <f>IF(AM16=1,MIN(1,AM17/'Hypothèses'!$D$19),0)</f>
      </c>
      <c r="AN18" s="2" t="e">
        <f>IF(AN16=1,MIN(1,AN17/'Hypothèses'!$D$19),0)</f>
      </c>
      <c r="AO18" s="2" t="e">
        <f>IF(AO16=1,MIN(1,AO17/'Hypothèses'!$D$19),0)</f>
      </c>
      <c r="AP18" s="2" t="e">
        <f>IF(AP16=1,MIN(1,AP17/'Hypothèses'!$D$19),0)</f>
      </c>
      <c r="AQ18" s="2" t="e">
        <f>IF(AQ16=1,MIN(1,AQ17/'Hypothèses'!$D$19),0)</f>
      </c>
      <c r="AR18" s="2" t="e">
        <f>IF(AR16=1,MIN(1,AR17/'Hypothèses'!$D$19),0)</f>
      </c>
      <c r="AS18" s="2" t="e">
        <f>IF(AS16=1,MIN(1,AS17/'Hypothèses'!$D$19),0)</f>
      </c>
      <c r="AT18" s="2" t="e">
        <f>IF(AT16=1,MIN(1,AT17/'Hypothèses'!$D$19),0)</f>
      </c>
      <c r="AU18" s="2" t="e">
        <f>IF(AU16=1,MIN(1,AU17/'Hypothèses'!$D$19),0)</f>
      </c>
      <c r="AV18" s="2" t="e">
        <f>IF(AV16=1,MIN(1,AV17/'Hypothèses'!$D$19),0)</f>
      </c>
      <c r="AW18" s="2" t="e">
        <f>IF(AW16=1,MIN(1,AW17/'Hypothèses'!$D$19),0)</f>
      </c>
      <c r="AX18" s="2" t="e">
        <f>IF(AX16=1,MIN(1,AX17/'Hypothèses'!$D$19),0)</f>
      </c>
      <c r="AY18" s="2" t="e">
        <f>IF(AY16=1,MIN(1,AY17/'Hypothèses'!$D$19),0)</f>
      </c>
      <c r="AZ18" s="2" t="e">
        <f>IF(AZ16=1,MIN(1,AZ17/'Hypothèses'!$D$19),0)</f>
      </c>
      <c r="BA18" s="2" t="e">
        <f>IF(BA16=1,MIN(1,BA17/'Hypothèses'!$D$19),0)</f>
      </c>
      <c r="BB18" s="2" t="e">
        <f>IF(BB16=1,MIN(1,BB17/'Hypothèses'!$D$19),0)</f>
      </c>
      <c r="BC18" s="2" t="e">
        <f>IF(BC16=1,MIN(1,BC17/'Hypothèses'!$D$19),0)</f>
      </c>
      <c r="BD18" s="2" t="e">
        <f>IF(BD16=1,MIN(1,BD17/'Hypothèses'!$D$19),0)</f>
      </c>
      <c r="BE18" s="2" t="e">
        <f>IF(BE16=1,MIN(1,BE17/'Hypothèses'!$D$19),0)</f>
      </c>
      <c r="BF18" s="2" t="e">
        <f>IF(BF16=1,MIN(1,BF17/'Hypothèses'!$D$19),0)</f>
      </c>
      <c r="BG18" s="2" t="e">
        <f>IF(BG16=1,MIN(1,BG17/'Hypothèses'!$D$19),0)</f>
      </c>
      <c r="BH18" s="2" t="e">
        <f>IF(BH16=1,MIN(1,BH17/'Hypothèses'!$D$19),0)</f>
      </c>
      <c r="BI18" s="2" t="e">
        <f>IF(BI16=1,MIN(1,BI17/'Hypothèses'!$D$19),0)</f>
      </c>
      <c r="BJ18" s="2" t="e">
        <f>IF(BJ16=1,MIN(1,BJ17/'Hypothèses'!$D$19),0)</f>
      </c>
      <c r="BK18" s="2" t="e">
        <f>IF(BK16=1,MIN(1,BK17/'Hypothèses'!$D$19),0)</f>
      </c>
      <c r="BL18" s="2" t="e">
        <f>AVERAGE(D18:O18)</f>
      </c>
      <c r="BM18" s="2" t="e">
        <f>AVERAGE(P18:AA18)</f>
      </c>
      <c r="BN18" s="2" t="e">
        <f>AVERAGE(AB18:AM18)</f>
      </c>
      <c r="BO18" s="2" t="e">
        <f>AVERAGE(AN18:AY18)</f>
      </c>
      <c r="BP18" s="2" t="e">
        <f>AVERAGE(AZ18:BK18)</f>
      </c>
    </row>
    <row r="19">
      <c r="A19" t="str">
        <v>Commercial salarié n°4 en poste (1/0)</v>
      </c>
      <c r="B19" t="str">
        <v>0/1</v>
      </c>
      <c r="C19" s="3">
        <v>0</v>
      </c>
      <c r="D19" s="3" t="e">
        <f>IF(1&gt;='Hypothèses'!$D$30,1,0)</f>
      </c>
      <c r="E19" s="3" t="e">
        <f>IF(2&gt;='Hypothèses'!$D$30,1,0)</f>
      </c>
      <c r="F19" s="3" t="e">
        <f>IF(3&gt;='Hypothèses'!$D$30,1,0)</f>
      </c>
      <c r="G19" s="3" t="e">
        <f>IF(4&gt;='Hypothèses'!$D$30,1,0)</f>
      </c>
      <c r="H19" s="3" t="e">
        <f>IF(5&gt;='Hypothèses'!$D$30,1,0)</f>
      </c>
      <c r="I19" s="3" t="e">
        <f>IF(6&gt;='Hypothèses'!$D$30,1,0)</f>
      </c>
      <c r="J19" s="3" t="e">
        <f>IF(7&gt;='Hypothèses'!$D$30,1,0)</f>
      </c>
      <c r="K19" s="3" t="e">
        <f>IF(8&gt;='Hypothèses'!$D$30,1,0)</f>
      </c>
      <c r="L19" s="3" t="e">
        <f>IF(9&gt;='Hypothèses'!$D$30,1,0)</f>
      </c>
      <c r="M19" s="3" t="e">
        <f>IF(10&gt;='Hypothèses'!$D$30,1,0)</f>
      </c>
      <c r="N19" s="3" t="e">
        <f>IF(11&gt;='Hypothèses'!$D$30,1,0)</f>
      </c>
      <c r="O19" s="3" t="e">
        <f>IF(12&gt;='Hypothèses'!$D$30,1,0)</f>
      </c>
      <c r="P19" s="3" t="e">
        <f>IF(13&gt;='Hypothèses'!$D$30,1,0)</f>
      </c>
      <c r="Q19" s="3" t="e">
        <f>IF(14&gt;='Hypothèses'!$D$30,1,0)</f>
      </c>
      <c r="R19" s="3" t="e">
        <f>IF(15&gt;='Hypothèses'!$D$30,1,0)</f>
      </c>
      <c r="S19" s="3" t="e">
        <f>IF(16&gt;='Hypothèses'!$D$30,1,0)</f>
      </c>
      <c r="T19" s="3" t="e">
        <f>IF(17&gt;='Hypothèses'!$D$30,1,0)</f>
      </c>
      <c r="U19" s="3" t="e">
        <f>IF(18&gt;='Hypothèses'!$D$30,1,0)</f>
      </c>
      <c r="V19" s="3" t="e">
        <f>IF(19&gt;='Hypothèses'!$D$30,1,0)</f>
      </c>
      <c r="W19" s="3" t="e">
        <f>IF(20&gt;='Hypothèses'!$D$30,1,0)</f>
      </c>
      <c r="X19" s="3" t="e">
        <f>IF(21&gt;='Hypothèses'!$D$30,1,0)</f>
      </c>
      <c r="Y19" s="3" t="e">
        <f>IF(22&gt;='Hypothèses'!$D$30,1,0)</f>
      </c>
      <c r="Z19" s="3" t="e">
        <f>IF(23&gt;='Hypothèses'!$D$30,1,0)</f>
      </c>
      <c r="AA19" s="3" t="e">
        <f>IF(24&gt;='Hypothèses'!$D$30,1,0)</f>
      </c>
      <c r="AB19" s="3" t="e">
        <f>IF(25&gt;='Hypothèses'!$D$30,1,0)</f>
      </c>
      <c r="AC19" s="3" t="e">
        <f>IF(26&gt;='Hypothèses'!$D$30,1,0)</f>
      </c>
      <c r="AD19" s="3" t="e">
        <f>IF(27&gt;='Hypothèses'!$D$30,1,0)</f>
      </c>
      <c r="AE19" s="3" t="e">
        <f>IF(28&gt;='Hypothèses'!$D$30,1,0)</f>
      </c>
      <c r="AF19" s="3" t="e">
        <f>IF(29&gt;='Hypothèses'!$D$30,1,0)</f>
      </c>
      <c r="AG19" s="3" t="e">
        <f>IF(30&gt;='Hypothèses'!$D$30,1,0)</f>
      </c>
      <c r="AH19" s="3" t="e">
        <f>IF(31&gt;='Hypothèses'!$D$30,1,0)</f>
      </c>
      <c r="AI19" s="3" t="e">
        <f>IF(32&gt;='Hypothèses'!$D$30,1,0)</f>
      </c>
      <c r="AJ19" s="3" t="e">
        <f>IF(33&gt;='Hypothèses'!$D$30,1,0)</f>
      </c>
      <c r="AK19" s="3" t="e">
        <f>IF(34&gt;='Hypothèses'!$D$30,1,0)</f>
      </c>
      <c r="AL19" s="3" t="e">
        <f>IF(35&gt;='Hypothèses'!$D$30,1,0)</f>
      </c>
      <c r="AM19" s="3" t="e">
        <f>IF(36&gt;='Hypothèses'!$D$30,1,0)</f>
      </c>
      <c r="AN19" s="3" t="e">
        <f>IF(37&gt;='Hypothèses'!$D$30,1,0)</f>
      </c>
      <c r="AO19" s="3" t="e">
        <f>IF(38&gt;='Hypothèses'!$D$30,1,0)</f>
      </c>
      <c r="AP19" s="3" t="e">
        <f>IF(39&gt;='Hypothèses'!$D$30,1,0)</f>
      </c>
      <c r="AQ19" s="3" t="e">
        <f>IF(40&gt;='Hypothèses'!$D$30,1,0)</f>
      </c>
      <c r="AR19" s="3" t="e">
        <f>IF(41&gt;='Hypothèses'!$D$30,1,0)</f>
      </c>
      <c r="AS19" s="3" t="e">
        <f>IF(42&gt;='Hypothèses'!$D$30,1,0)</f>
      </c>
      <c r="AT19" s="3" t="e">
        <f>IF(43&gt;='Hypothèses'!$D$30,1,0)</f>
      </c>
      <c r="AU19" s="3" t="e">
        <f>IF(44&gt;='Hypothèses'!$D$30,1,0)</f>
      </c>
      <c r="AV19" s="3" t="e">
        <f>IF(45&gt;='Hypothèses'!$D$30,1,0)</f>
      </c>
      <c r="AW19" s="3" t="e">
        <f>IF(46&gt;='Hypothèses'!$D$30,1,0)</f>
      </c>
      <c r="AX19" s="3" t="e">
        <f>IF(47&gt;='Hypothèses'!$D$30,1,0)</f>
      </c>
      <c r="AY19" s="3" t="e">
        <f>IF(48&gt;='Hypothèses'!$D$30,1,0)</f>
      </c>
      <c r="AZ19" s="3" t="e">
        <f>IF(49&gt;='Hypothèses'!$D$30,1,0)</f>
      </c>
      <c r="BA19" s="3" t="e">
        <f>IF(50&gt;='Hypothèses'!$D$30,1,0)</f>
      </c>
      <c r="BB19" s="3" t="e">
        <f>IF(51&gt;='Hypothèses'!$D$30,1,0)</f>
      </c>
      <c r="BC19" s="3" t="e">
        <f>IF(52&gt;='Hypothèses'!$D$30,1,0)</f>
      </c>
      <c r="BD19" s="3" t="e">
        <f>IF(53&gt;='Hypothèses'!$D$30,1,0)</f>
      </c>
      <c r="BE19" s="3" t="e">
        <f>IF(54&gt;='Hypothèses'!$D$30,1,0)</f>
      </c>
      <c r="BF19" s="3" t="e">
        <f>IF(55&gt;='Hypothèses'!$D$30,1,0)</f>
      </c>
      <c r="BG19" s="3" t="e">
        <f>IF(56&gt;='Hypothèses'!$D$30,1,0)</f>
      </c>
      <c r="BH19" s="3" t="e">
        <f>IF(57&gt;='Hypothèses'!$D$30,1,0)</f>
      </c>
      <c r="BI19" s="3" t="e">
        <f>IF(58&gt;='Hypothèses'!$D$30,1,0)</f>
      </c>
      <c r="BJ19" s="3" t="e">
        <f>IF(59&gt;='Hypothèses'!$D$30,1,0)</f>
      </c>
      <c r="BK19" s="3" t="e">
        <f>IF(60&gt;='Hypothèses'!$D$30,1,0)</f>
      </c>
      <c r="BL19" s="3" t="e">
        <f>O19</f>
      </c>
      <c r="BM19" s="3" t="e">
        <f>AA19</f>
      </c>
      <c r="BN19" s="3" t="e">
        <f>AM19</f>
      </c>
      <c r="BO19" s="3" t="e">
        <f>AY19</f>
      </c>
      <c r="BP19" s="3" t="e">
        <f>BK19</f>
      </c>
    </row>
    <row r="20">
      <c r="A20" t="str">
        <v>Commercial salarié n°4 — ancienneté</v>
      </c>
      <c r="B20" t="str">
        <v>mois</v>
      </c>
      <c r="C20" s="3">
        <v>0</v>
      </c>
      <c r="D20" s="3" t="e">
        <f>IF(D19=1,C20+1,0)</f>
      </c>
      <c r="E20" s="3" t="e">
        <f>IF(E19=1,D20+1,0)</f>
      </c>
      <c r="F20" s="3" t="e">
        <f>IF(F19=1,E20+1,0)</f>
      </c>
      <c r="G20" s="3" t="e">
        <f>IF(G19=1,F20+1,0)</f>
      </c>
      <c r="H20" s="3" t="e">
        <f>IF(H19=1,G20+1,0)</f>
      </c>
      <c r="I20" s="3" t="e">
        <f>IF(I19=1,H20+1,0)</f>
      </c>
      <c r="J20" s="3" t="e">
        <f>IF(J19=1,I20+1,0)</f>
      </c>
      <c r="K20" s="3" t="e">
        <f>IF(K19=1,J20+1,0)</f>
      </c>
      <c r="L20" s="3" t="e">
        <f>IF(L19=1,K20+1,0)</f>
      </c>
      <c r="M20" s="3" t="e">
        <f>IF(M19=1,L20+1,0)</f>
      </c>
      <c r="N20" s="3" t="e">
        <f>IF(N19=1,M20+1,0)</f>
      </c>
      <c r="O20" s="3" t="e">
        <f>IF(O19=1,N20+1,0)</f>
      </c>
      <c r="P20" s="3" t="e">
        <f>IF(P19=1,O20+1,0)</f>
      </c>
      <c r="Q20" s="3" t="e">
        <f>IF(Q19=1,P20+1,0)</f>
      </c>
      <c r="R20" s="3" t="e">
        <f>IF(R19=1,Q20+1,0)</f>
      </c>
      <c r="S20" s="3" t="e">
        <f>IF(S19=1,R20+1,0)</f>
      </c>
      <c r="T20" s="3" t="e">
        <f>IF(T19=1,S20+1,0)</f>
      </c>
      <c r="U20" s="3" t="e">
        <f>IF(U19=1,T20+1,0)</f>
      </c>
      <c r="V20" s="3" t="e">
        <f>IF(V19=1,U20+1,0)</f>
      </c>
      <c r="W20" s="3" t="e">
        <f>IF(W19=1,V20+1,0)</f>
      </c>
      <c r="X20" s="3" t="e">
        <f>IF(X19=1,W20+1,0)</f>
      </c>
      <c r="Y20" s="3" t="e">
        <f>IF(Y19=1,X20+1,0)</f>
      </c>
      <c r="Z20" s="3" t="e">
        <f>IF(Z19=1,Y20+1,0)</f>
      </c>
      <c r="AA20" s="3" t="e">
        <f>IF(AA19=1,Z20+1,0)</f>
      </c>
      <c r="AB20" s="3" t="e">
        <f>IF(AB19=1,AA20+1,0)</f>
      </c>
      <c r="AC20" s="3" t="e">
        <f>IF(AC19=1,AB20+1,0)</f>
      </c>
      <c r="AD20" s="3" t="e">
        <f>IF(AD19=1,AC20+1,0)</f>
      </c>
      <c r="AE20" s="3" t="e">
        <f>IF(AE19=1,AD20+1,0)</f>
      </c>
      <c r="AF20" s="3" t="e">
        <f>IF(AF19=1,AE20+1,0)</f>
      </c>
      <c r="AG20" s="3" t="e">
        <f>IF(AG19=1,AF20+1,0)</f>
      </c>
      <c r="AH20" s="3" t="e">
        <f>IF(AH19=1,AG20+1,0)</f>
      </c>
      <c r="AI20" s="3" t="e">
        <f>IF(AI19=1,AH20+1,0)</f>
      </c>
      <c r="AJ20" s="3" t="e">
        <f>IF(AJ19=1,AI20+1,0)</f>
      </c>
      <c r="AK20" s="3" t="e">
        <f>IF(AK19=1,AJ20+1,0)</f>
      </c>
      <c r="AL20" s="3" t="e">
        <f>IF(AL19=1,AK20+1,0)</f>
      </c>
      <c r="AM20" s="3" t="e">
        <f>IF(AM19=1,AL20+1,0)</f>
      </c>
      <c r="AN20" s="3" t="e">
        <f>IF(AN19=1,AM20+1,0)</f>
      </c>
      <c r="AO20" s="3" t="e">
        <f>IF(AO19=1,AN20+1,0)</f>
      </c>
      <c r="AP20" s="3" t="e">
        <f>IF(AP19=1,AO20+1,0)</f>
      </c>
      <c r="AQ20" s="3" t="e">
        <f>IF(AQ19=1,AP20+1,0)</f>
      </c>
      <c r="AR20" s="3" t="e">
        <f>IF(AR19=1,AQ20+1,0)</f>
      </c>
      <c r="AS20" s="3" t="e">
        <f>IF(AS19=1,AR20+1,0)</f>
      </c>
      <c r="AT20" s="3" t="e">
        <f>IF(AT19=1,AS20+1,0)</f>
      </c>
      <c r="AU20" s="3" t="e">
        <f>IF(AU19=1,AT20+1,0)</f>
      </c>
      <c r="AV20" s="3" t="e">
        <f>IF(AV19=1,AU20+1,0)</f>
      </c>
      <c r="AW20" s="3" t="e">
        <f>IF(AW19=1,AV20+1,0)</f>
      </c>
      <c r="AX20" s="3" t="e">
        <f>IF(AX19=1,AW20+1,0)</f>
      </c>
      <c r="AY20" s="3" t="e">
        <f>IF(AY19=1,AX20+1,0)</f>
      </c>
      <c r="AZ20" s="3" t="e">
        <f>IF(AZ19=1,AY20+1,0)</f>
      </c>
      <c r="BA20" s="3" t="e">
        <f>IF(BA19=1,AZ20+1,0)</f>
      </c>
      <c r="BB20" s="3" t="e">
        <f>IF(BB19=1,BA20+1,0)</f>
      </c>
      <c r="BC20" s="3" t="e">
        <f>IF(BC19=1,BB20+1,0)</f>
      </c>
      <c r="BD20" s="3" t="e">
        <f>IF(BD19=1,BC20+1,0)</f>
      </c>
      <c r="BE20" s="3" t="e">
        <f>IF(BE19=1,BD20+1,0)</f>
      </c>
      <c r="BF20" s="3" t="e">
        <f>IF(BF19=1,BE20+1,0)</f>
      </c>
      <c r="BG20" s="3" t="e">
        <f>IF(BG19=1,BF20+1,0)</f>
      </c>
      <c r="BH20" s="3" t="e">
        <f>IF(BH19=1,BG20+1,0)</f>
      </c>
      <c r="BI20" s="3" t="e">
        <f>IF(BI19=1,BH20+1,0)</f>
      </c>
      <c r="BJ20" s="3" t="e">
        <f>IF(BJ19=1,BI20+1,0)</f>
      </c>
      <c r="BK20" s="3" t="e">
        <f>IF(BK19=1,BJ20+1,0)</f>
      </c>
      <c r="BL20" s="3" t="e">
        <f>O20</f>
      </c>
      <c r="BM20" s="3" t="e">
        <f>AA20</f>
      </c>
      <c r="BN20" s="3" t="e">
        <f>AM20</f>
      </c>
      <c r="BO20" s="3" t="e">
        <f>AY20</f>
      </c>
      <c r="BP20" s="3" t="e">
        <f>BK20</f>
      </c>
    </row>
    <row r="21">
      <c r="A21" t="str">
        <v>Commercial salarié n°4 — productivité (ramp)</v>
      </c>
      <c r="B21" t="str">
        <v>%</v>
      </c>
      <c r="C21" s="2">
        <v>0</v>
      </c>
      <c r="D21" s="2" t="e">
        <f>IF(D19=1,MIN(1,D20/'Hypothèses'!$D$19),0)</f>
      </c>
      <c r="E21" s="2" t="e">
        <f>IF(E19=1,MIN(1,E20/'Hypothèses'!$D$19),0)</f>
      </c>
      <c r="F21" s="2" t="e">
        <f>IF(F19=1,MIN(1,F20/'Hypothèses'!$D$19),0)</f>
      </c>
      <c r="G21" s="2" t="e">
        <f>IF(G19=1,MIN(1,G20/'Hypothèses'!$D$19),0)</f>
      </c>
      <c r="H21" s="2" t="e">
        <f>IF(H19=1,MIN(1,H20/'Hypothèses'!$D$19),0)</f>
      </c>
      <c r="I21" s="2" t="e">
        <f>IF(I19=1,MIN(1,I20/'Hypothèses'!$D$19),0)</f>
      </c>
      <c r="J21" s="2" t="e">
        <f>IF(J19=1,MIN(1,J20/'Hypothèses'!$D$19),0)</f>
      </c>
      <c r="K21" s="2" t="e">
        <f>IF(K19=1,MIN(1,K20/'Hypothèses'!$D$19),0)</f>
      </c>
      <c r="L21" s="2" t="e">
        <f>IF(L19=1,MIN(1,L20/'Hypothèses'!$D$19),0)</f>
      </c>
      <c r="M21" s="2" t="e">
        <f>IF(M19=1,MIN(1,M20/'Hypothèses'!$D$19),0)</f>
      </c>
      <c r="N21" s="2" t="e">
        <f>IF(N19=1,MIN(1,N20/'Hypothèses'!$D$19),0)</f>
      </c>
      <c r="O21" s="2" t="e">
        <f>IF(O19=1,MIN(1,O20/'Hypothèses'!$D$19),0)</f>
      </c>
      <c r="P21" s="2" t="e">
        <f>IF(P19=1,MIN(1,P20/'Hypothèses'!$D$19),0)</f>
      </c>
      <c r="Q21" s="2" t="e">
        <f>IF(Q19=1,MIN(1,Q20/'Hypothèses'!$D$19),0)</f>
      </c>
      <c r="R21" s="2" t="e">
        <f>IF(R19=1,MIN(1,R20/'Hypothèses'!$D$19),0)</f>
      </c>
      <c r="S21" s="2" t="e">
        <f>IF(S19=1,MIN(1,S20/'Hypothèses'!$D$19),0)</f>
      </c>
      <c r="T21" s="2" t="e">
        <f>IF(T19=1,MIN(1,T20/'Hypothèses'!$D$19),0)</f>
      </c>
      <c r="U21" s="2" t="e">
        <f>IF(U19=1,MIN(1,U20/'Hypothèses'!$D$19),0)</f>
      </c>
      <c r="V21" s="2" t="e">
        <f>IF(V19=1,MIN(1,V20/'Hypothèses'!$D$19),0)</f>
      </c>
      <c r="W21" s="2" t="e">
        <f>IF(W19=1,MIN(1,W20/'Hypothèses'!$D$19),0)</f>
      </c>
      <c r="X21" s="2" t="e">
        <f>IF(X19=1,MIN(1,X20/'Hypothèses'!$D$19),0)</f>
      </c>
      <c r="Y21" s="2" t="e">
        <f>IF(Y19=1,MIN(1,Y20/'Hypothèses'!$D$19),0)</f>
      </c>
      <c r="Z21" s="2" t="e">
        <f>IF(Z19=1,MIN(1,Z20/'Hypothèses'!$D$19),0)</f>
      </c>
      <c r="AA21" s="2" t="e">
        <f>IF(AA19=1,MIN(1,AA20/'Hypothèses'!$D$19),0)</f>
      </c>
      <c r="AB21" s="2" t="e">
        <f>IF(AB19=1,MIN(1,AB20/'Hypothèses'!$D$19),0)</f>
      </c>
      <c r="AC21" s="2" t="e">
        <f>IF(AC19=1,MIN(1,AC20/'Hypothèses'!$D$19),0)</f>
      </c>
      <c r="AD21" s="2" t="e">
        <f>IF(AD19=1,MIN(1,AD20/'Hypothèses'!$D$19),0)</f>
      </c>
      <c r="AE21" s="2" t="e">
        <f>IF(AE19=1,MIN(1,AE20/'Hypothèses'!$D$19),0)</f>
      </c>
      <c r="AF21" s="2" t="e">
        <f>IF(AF19=1,MIN(1,AF20/'Hypothèses'!$D$19),0)</f>
      </c>
      <c r="AG21" s="2" t="e">
        <f>IF(AG19=1,MIN(1,AG20/'Hypothèses'!$D$19),0)</f>
      </c>
      <c r="AH21" s="2" t="e">
        <f>IF(AH19=1,MIN(1,AH20/'Hypothèses'!$D$19),0)</f>
      </c>
      <c r="AI21" s="2" t="e">
        <f>IF(AI19=1,MIN(1,AI20/'Hypothèses'!$D$19),0)</f>
      </c>
      <c r="AJ21" s="2" t="e">
        <f>IF(AJ19=1,MIN(1,AJ20/'Hypothèses'!$D$19),0)</f>
      </c>
      <c r="AK21" s="2" t="e">
        <f>IF(AK19=1,MIN(1,AK20/'Hypothèses'!$D$19),0)</f>
      </c>
      <c r="AL21" s="2" t="e">
        <f>IF(AL19=1,MIN(1,AL20/'Hypothèses'!$D$19),0)</f>
      </c>
      <c r="AM21" s="2" t="e">
        <f>IF(AM19=1,MIN(1,AM20/'Hypothèses'!$D$19),0)</f>
      </c>
      <c r="AN21" s="2" t="e">
        <f>IF(AN19=1,MIN(1,AN20/'Hypothèses'!$D$19),0)</f>
      </c>
      <c r="AO21" s="2" t="e">
        <f>IF(AO19=1,MIN(1,AO20/'Hypothèses'!$D$19),0)</f>
      </c>
      <c r="AP21" s="2" t="e">
        <f>IF(AP19=1,MIN(1,AP20/'Hypothèses'!$D$19),0)</f>
      </c>
      <c r="AQ21" s="2" t="e">
        <f>IF(AQ19=1,MIN(1,AQ20/'Hypothèses'!$D$19),0)</f>
      </c>
      <c r="AR21" s="2" t="e">
        <f>IF(AR19=1,MIN(1,AR20/'Hypothèses'!$D$19),0)</f>
      </c>
      <c r="AS21" s="2" t="e">
        <f>IF(AS19=1,MIN(1,AS20/'Hypothèses'!$D$19),0)</f>
      </c>
      <c r="AT21" s="2" t="e">
        <f>IF(AT19=1,MIN(1,AT20/'Hypothèses'!$D$19),0)</f>
      </c>
      <c r="AU21" s="2" t="e">
        <f>IF(AU19=1,MIN(1,AU20/'Hypothèses'!$D$19),0)</f>
      </c>
      <c r="AV21" s="2" t="e">
        <f>IF(AV19=1,MIN(1,AV20/'Hypothèses'!$D$19),0)</f>
      </c>
      <c r="AW21" s="2" t="e">
        <f>IF(AW19=1,MIN(1,AW20/'Hypothèses'!$D$19),0)</f>
      </c>
      <c r="AX21" s="2" t="e">
        <f>IF(AX19=1,MIN(1,AX20/'Hypothèses'!$D$19),0)</f>
      </c>
      <c r="AY21" s="2" t="e">
        <f>IF(AY19=1,MIN(1,AY20/'Hypothèses'!$D$19),0)</f>
      </c>
      <c r="AZ21" s="2" t="e">
        <f>IF(AZ19=1,MIN(1,AZ20/'Hypothèses'!$D$19),0)</f>
      </c>
      <c r="BA21" s="2" t="e">
        <f>IF(BA19=1,MIN(1,BA20/'Hypothèses'!$D$19),0)</f>
      </c>
      <c r="BB21" s="2" t="e">
        <f>IF(BB19=1,MIN(1,BB20/'Hypothèses'!$D$19),0)</f>
      </c>
      <c r="BC21" s="2" t="e">
        <f>IF(BC19=1,MIN(1,BC20/'Hypothèses'!$D$19),0)</f>
      </c>
      <c r="BD21" s="2" t="e">
        <f>IF(BD19=1,MIN(1,BD20/'Hypothèses'!$D$19),0)</f>
      </c>
      <c r="BE21" s="2" t="e">
        <f>IF(BE19=1,MIN(1,BE20/'Hypothèses'!$D$19),0)</f>
      </c>
      <c r="BF21" s="2" t="e">
        <f>IF(BF19=1,MIN(1,BF20/'Hypothèses'!$D$19),0)</f>
      </c>
      <c r="BG21" s="2" t="e">
        <f>IF(BG19=1,MIN(1,BG20/'Hypothèses'!$D$19),0)</f>
      </c>
      <c r="BH21" s="2" t="e">
        <f>IF(BH19=1,MIN(1,BH20/'Hypothèses'!$D$19),0)</f>
      </c>
      <c r="BI21" s="2" t="e">
        <f>IF(BI19=1,MIN(1,BI20/'Hypothèses'!$D$19),0)</f>
      </c>
      <c r="BJ21" s="2" t="e">
        <f>IF(BJ19=1,MIN(1,BJ20/'Hypothèses'!$D$19),0)</f>
      </c>
      <c r="BK21" s="2" t="e">
        <f>IF(BK19=1,MIN(1,BK20/'Hypothèses'!$D$19),0)</f>
      </c>
      <c r="BL21" s="2" t="e">
        <f>AVERAGE(D21:O21)</f>
      </c>
      <c r="BM21" s="2" t="e">
        <f>AVERAGE(P21:AA21)</f>
      </c>
      <c r="BN21" s="2" t="e">
        <f>AVERAGE(AB21:AM21)</f>
      </c>
      <c r="BO21" s="2" t="e">
        <f>AVERAGE(AN21:AY21)</f>
      </c>
      <c r="BP21" s="2" t="e">
        <f>AVERAGE(AZ21:BK21)</f>
      </c>
    </row>
    <row r="22">
      <c r="A22" t="str">
        <v>Commercial salarié n°5 en poste (1/0)</v>
      </c>
      <c r="B22" t="str">
        <v>0/1</v>
      </c>
      <c r="C22" s="3">
        <v>0</v>
      </c>
      <c r="D22" s="3" t="e">
        <f>IF(1&gt;='Hypothèses'!$D$31,1,0)</f>
      </c>
      <c r="E22" s="3" t="e">
        <f>IF(2&gt;='Hypothèses'!$D$31,1,0)</f>
      </c>
      <c r="F22" s="3" t="e">
        <f>IF(3&gt;='Hypothèses'!$D$31,1,0)</f>
      </c>
      <c r="G22" s="3" t="e">
        <f>IF(4&gt;='Hypothèses'!$D$31,1,0)</f>
      </c>
      <c r="H22" s="3" t="e">
        <f>IF(5&gt;='Hypothèses'!$D$31,1,0)</f>
      </c>
      <c r="I22" s="3" t="e">
        <f>IF(6&gt;='Hypothèses'!$D$31,1,0)</f>
      </c>
      <c r="J22" s="3" t="e">
        <f>IF(7&gt;='Hypothèses'!$D$31,1,0)</f>
      </c>
      <c r="K22" s="3" t="e">
        <f>IF(8&gt;='Hypothèses'!$D$31,1,0)</f>
      </c>
      <c r="L22" s="3" t="e">
        <f>IF(9&gt;='Hypothèses'!$D$31,1,0)</f>
      </c>
      <c r="M22" s="3" t="e">
        <f>IF(10&gt;='Hypothèses'!$D$31,1,0)</f>
      </c>
      <c r="N22" s="3" t="e">
        <f>IF(11&gt;='Hypothèses'!$D$31,1,0)</f>
      </c>
      <c r="O22" s="3" t="e">
        <f>IF(12&gt;='Hypothèses'!$D$31,1,0)</f>
      </c>
      <c r="P22" s="3" t="e">
        <f>IF(13&gt;='Hypothèses'!$D$31,1,0)</f>
      </c>
      <c r="Q22" s="3" t="e">
        <f>IF(14&gt;='Hypothèses'!$D$31,1,0)</f>
      </c>
      <c r="R22" s="3" t="e">
        <f>IF(15&gt;='Hypothèses'!$D$31,1,0)</f>
      </c>
      <c r="S22" s="3" t="e">
        <f>IF(16&gt;='Hypothèses'!$D$31,1,0)</f>
      </c>
      <c r="T22" s="3" t="e">
        <f>IF(17&gt;='Hypothèses'!$D$31,1,0)</f>
      </c>
      <c r="U22" s="3" t="e">
        <f>IF(18&gt;='Hypothèses'!$D$31,1,0)</f>
      </c>
      <c r="V22" s="3" t="e">
        <f>IF(19&gt;='Hypothèses'!$D$31,1,0)</f>
      </c>
      <c r="W22" s="3" t="e">
        <f>IF(20&gt;='Hypothèses'!$D$31,1,0)</f>
      </c>
      <c r="X22" s="3" t="e">
        <f>IF(21&gt;='Hypothèses'!$D$31,1,0)</f>
      </c>
      <c r="Y22" s="3" t="e">
        <f>IF(22&gt;='Hypothèses'!$D$31,1,0)</f>
      </c>
      <c r="Z22" s="3" t="e">
        <f>IF(23&gt;='Hypothèses'!$D$31,1,0)</f>
      </c>
      <c r="AA22" s="3" t="e">
        <f>IF(24&gt;='Hypothèses'!$D$31,1,0)</f>
      </c>
      <c r="AB22" s="3" t="e">
        <f>IF(25&gt;='Hypothèses'!$D$31,1,0)</f>
      </c>
      <c r="AC22" s="3" t="e">
        <f>IF(26&gt;='Hypothèses'!$D$31,1,0)</f>
      </c>
      <c r="AD22" s="3" t="e">
        <f>IF(27&gt;='Hypothèses'!$D$31,1,0)</f>
      </c>
      <c r="AE22" s="3" t="e">
        <f>IF(28&gt;='Hypothèses'!$D$31,1,0)</f>
      </c>
      <c r="AF22" s="3" t="e">
        <f>IF(29&gt;='Hypothèses'!$D$31,1,0)</f>
      </c>
      <c r="AG22" s="3" t="e">
        <f>IF(30&gt;='Hypothèses'!$D$31,1,0)</f>
      </c>
      <c r="AH22" s="3" t="e">
        <f>IF(31&gt;='Hypothèses'!$D$31,1,0)</f>
      </c>
      <c r="AI22" s="3" t="e">
        <f>IF(32&gt;='Hypothèses'!$D$31,1,0)</f>
      </c>
      <c r="AJ22" s="3" t="e">
        <f>IF(33&gt;='Hypothèses'!$D$31,1,0)</f>
      </c>
      <c r="AK22" s="3" t="e">
        <f>IF(34&gt;='Hypothèses'!$D$31,1,0)</f>
      </c>
      <c r="AL22" s="3" t="e">
        <f>IF(35&gt;='Hypothèses'!$D$31,1,0)</f>
      </c>
      <c r="AM22" s="3" t="e">
        <f>IF(36&gt;='Hypothèses'!$D$31,1,0)</f>
      </c>
      <c r="AN22" s="3" t="e">
        <f>IF(37&gt;='Hypothèses'!$D$31,1,0)</f>
      </c>
      <c r="AO22" s="3" t="e">
        <f>IF(38&gt;='Hypothèses'!$D$31,1,0)</f>
      </c>
      <c r="AP22" s="3" t="e">
        <f>IF(39&gt;='Hypothèses'!$D$31,1,0)</f>
      </c>
      <c r="AQ22" s="3" t="e">
        <f>IF(40&gt;='Hypothèses'!$D$31,1,0)</f>
      </c>
      <c r="AR22" s="3" t="e">
        <f>IF(41&gt;='Hypothèses'!$D$31,1,0)</f>
      </c>
      <c r="AS22" s="3" t="e">
        <f>IF(42&gt;='Hypothèses'!$D$31,1,0)</f>
      </c>
      <c r="AT22" s="3" t="e">
        <f>IF(43&gt;='Hypothèses'!$D$31,1,0)</f>
      </c>
      <c r="AU22" s="3" t="e">
        <f>IF(44&gt;='Hypothèses'!$D$31,1,0)</f>
      </c>
      <c r="AV22" s="3" t="e">
        <f>IF(45&gt;='Hypothèses'!$D$31,1,0)</f>
      </c>
      <c r="AW22" s="3" t="e">
        <f>IF(46&gt;='Hypothèses'!$D$31,1,0)</f>
      </c>
      <c r="AX22" s="3" t="e">
        <f>IF(47&gt;='Hypothèses'!$D$31,1,0)</f>
      </c>
      <c r="AY22" s="3" t="e">
        <f>IF(48&gt;='Hypothèses'!$D$31,1,0)</f>
      </c>
      <c r="AZ22" s="3" t="e">
        <f>IF(49&gt;='Hypothèses'!$D$31,1,0)</f>
      </c>
      <c r="BA22" s="3" t="e">
        <f>IF(50&gt;='Hypothèses'!$D$31,1,0)</f>
      </c>
      <c r="BB22" s="3" t="e">
        <f>IF(51&gt;='Hypothèses'!$D$31,1,0)</f>
      </c>
      <c r="BC22" s="3" t="e">
        <f>IF(52&gt;='Hypothèses'!$D$31,1,0)</f>
      </c>
      <c r="BD22" s="3" t="e">
        <f>IF(53&gt;='Hypothèses'!$D$31,1,0)</f>
      </c>
      <c r="BE22" s="3" t="e">
        <f>IF(54&gt;='Hypothèses'!$D$31,1,0)</f>
      </c>
      <c r="BF22" s="3" t="e">
        <f>IF(55&gt;='Hypothèses'!$D$31,1,0)</f>
      </c>
      <c r="BG22" s="3" t="e">
        <f>IF(56&gt;='Hypothèses'!$D$31,1,0)</f>
      </c>
      <c r="BH22" s="3" t="e">
        <f>IF(57&gt;='Hypothèses'!$D$31,1,0)</f>
      </c>
      <c r="BI22" s="3" t="e">
        <f>IF(58&gt;='Hypothèses'!$D$31,1,0)</f>
      </c>
      <c r="BJ22" s="3" t="e">
        <f>IF(59&gt;='Hypothèses'!$D$31,1,0)</f>
      </c>
      <c r="BK22" s="3" t="e">
        <f>IF(60&gt;='Hypothèses'!$D$31,1,0)</f>
      </c>
      <c r="BL22" s="3" t="e">
        <f>O22</f>
      </c>
      <c r="BM22" s="3" t="e">
        <f>AA22</f>
      </c>
      <c r="BN22" s="3" t="e">
        <f>AM22</f>
      </c>
      <c r="BO22" s="3" t="e">
        <f>AY22</f>
      </c>
      <c r="BP22" s="3" t="e">
        <f>BK22</f>
      </c>
    </row>
    <row r="23">
      <c r="A23" t="str">
        <v>Commercial salarié n°5 — ancienneté</v>
      </c>
      <c r="B23" t="str">
        <v>mois</v>
      </c>
      <c r="C23" s="3">
        <v>0</v>
      </c>
      <c r="D23" s="3" t="e">
        <f>IF(D22=1,C23+1,0)</f>
      </c>
      <c r="E23" s="3" t="e">
        <f>IF(E22=1,D23+1,0)</f>
      </c>
      <c r="F23" s="3" t="e">
        <f>IF(F22=1,E23+1,0)</f>
      </c>
      <c r="G23" s="3" t="e">
        <f>IF(G22=1,F23+1,0)</f>
      </c>
      <c r="H23" s="3" t="e">
        <f>IF(H22=1,G23+1,0)</f>
      </c>
      <c r="I23" s="3" t="e">
        <f>IF(I22=1,H23+1,0)</f>
      </c>
      <c r="J23" s="3" t="e">
        <f>IF(J22=1,I23+1,0)</f>
      </c>
      <c r="K23" s="3" t="e">
        <f>IF(K22=1,J23+1,0)</f>
      </c>
      <c r="L23" s="3" t="e">
        <f>IF(L22=1,K23+1,0)</f>
      </c>
      <c r="M23" s="3" t="e">
        <f>IF(M22=1,L23+1,0)</f>
      </c>
      <c r="N23" s="3" t="e">
        <f>IF(N22=1,M23+1,0)</f>
      </c>
      <c r="O23" s="3" t="e">
        <f>IF(O22=1,N23+1,0)</f>
      </c>
      <c r="P23" s="3" t="e">
        <f>IF(P22=1,O23+1,0)</f>
      </c>
      <c r="Q23" s="3" t="e">
        <f>IF(Q22=1,P23+1,0)</f>
      </c>
      <c r="R23" s="3" t="e">
        <f>IF(R22=1,Q23+1,0)</f>
      </c>
      <c r="S23" s="3" t="e">
        <f>IF(S22=1,R23+1,0)</f>
      </c>
      <c r="T23" s="3" t="e">
        <f>IF(T22=1,S23+1,0)</f>
      </c>
      <c r="U23" s="3" t="e">
        <f>IF(U22=1,T23+1,0)</f>
      </c>
      <c r="V23" s="3" t="e">
        <f>IF(V22=1,U23+1,0)</f>
      </c>
      <c r="W23" s="3" t="e">
        <f>IF(W22=1,V23+1,0)</f>
      </c>
      <c r="X23" s="3" t="e">
        <f>IF(X22=1,W23+1,0)</f>
      </c>
      <c r="Y23" s="3" t="e">
        <f>IF(Y22=1,X23+1,0)</f>
      </c>
      <c r="Z23" s="3" t="e">
        <f>IF(Z22=1,Y23+1,0)</f>
      </c>
      <c r="AA23" s="3" t="e">
        <f>IF(AA22=1,Z23+1,0)</f>
      </c>
      <c r="AB23" s="3" t="e">
        <f>IF(AB22=1,AA23+1,0)</f>
      </c>
      <c r="AC23" s="3" t="e">
        <f>IF(AC22=1,AB23+1,0)</f>
      </c>
      <c r="AD23" s="3" t="e">
        <f>IF(AD22=1,AC23+1,0)</f>
      </c>
      <c r="AE23" s="3" t="e">
        <f>IF(AE22=1,AD23+1,0)</f>
      </c>
      <c r="AF23" s="3" t="e">
        <f>IF(AF22=1,AE23+1,0)</f>
      </c>
      <c r="AG23" s="3" t="e">
        <f>IF(AG22=1,AF23+1,0)</f>
      </c>
      <c r="AH23" s="3" t="e">
        <f>IF(AH22=1,AG23+1,0)</f>
      </c>
      <c r="AI23" s="3" t="e">
        <f>IF(AI22=1,AH23+1,0)</f>
      </c>
      <c r="AJ23" s="3" t="e">
        <f>IF(AJ22=1,AI23+1,0)</f>
      </c>
      <c r="AK23" s="3" t="e">
        <f>IF(AK22=1,AJ23+1,0)</f>
      </c>
      <c r="AL23" s="3" t="e">
        <f>IF(AL22=1,AK23+1,0)</f>
      </c>
      <c r="AM23" s="3" t="e">
        <f>IF(AM22=1,AL23+1,0)</f>
      </c>
      <c r="AN23" s="3" t="e">
        <f>IF(AN22=1,AM23+1,0)</f>
      </c>
      <c r="AO23" s="3" t="e">
        <f>IF(AO22=1,AN23+1,0)</f>
      </c>
      <c r="AP23" s="3" t="e">
        <f>IF(AP22=1,AO23+1,0)</f>
      </c>
      <c r="AQ23" s="3" t="e">
        <f>IF(AQ22=1,AP23+1,0)</f>
      </c>
      <c r="AR23" s="3" t="e">
        <f>IF(AR22=1,AQ23+1,0)</f>
      </c>
      <c r="AS23" s="3" t="e">
        <f>IF(AS22=1,AR23+1,0)</f>
      </c>
      <c r="AT23" s="3" t="e">
        <f>IF(AT22=1,AS23+1,0)</f>
      </c>
      <c r="AU23" s="3" t="e">
        <f>IF(AU22=1,AT23+1,0)</f>
      </c>
      <c r="AV23" s="3" t="e">
        <f>IF(AV22=1,AU23+1,0)</f>
      </c>
      <c r="AW23" s="3" t="e">
        <f>IF(AW22=1,AV23+1,0)</f>
      </c>
      <c r="AX23" s="3" t="e">
        <f>IF(AX22=1,AW23+1,0)</f>
      </c>
      <c r="AY23" s="3" t="e">
        <f>IF(AY22=1,AX23+1,0)</f>
      </c>
      <c r="AZ23" s="3" t="e">
        <f>IF(AZ22=1,AY23+1,0)</f>
      </c>
      <c r="BA23" s="3" t="e">
        <f>IF(BA22=1,AZ23+1,0)</f>
      </c>
      <c r="BB23" s="3" t="e">
        <f>IF(BB22=1,BA23+1,0)</f>
      </c>
      <c r="BC23" s="3" t="e">
        <f>IF(BC22=1,BB23+1,0)</f>
      </c>
      <c r="BD23" s="3" t="e">
        <f>IF(BD22=1,BC23+1,0)</f>
      </c>
      <c r="BE23" s="3" t="e">
        <f>IF(BE22=1,BD23+1,0)</f>
      </c>
      <c r="BF23" s="3" t="e">
        <f>IF(BF22=1,BE23+1,0)</f>
      </c>
      <c r="BG23" s="3" t="e">
        <f>IF(BG22=1,BF23+1,0)</f>
      </c>
      <c r="BH23" s="3" t="e">
        <f>IF(BH22=1,BG23+1,0)</f>
      </c>
      <c r="BI23" s="3" t="e">
        <f>IF(BI22=1,BH23+1,0)</f>
      </c>
      <c r="BJ23" s="3" t="e">
        <f>IF(BJ22=1,BI23+1,0)</f>
      </c>
      <c r="BK23" s="3" t="e">
        <f>IF(BK22=1,BJ23+1,0)</f>
      </c>
      <c r="BL23" s="3" t="e">
        <f>O23</f>
      </c>
      <c r="BM23" s="3" t="e">
        <f>AA23</f>
      </c>
      <c r="BN23" s="3" t="e">
        <f>AM23</f>
      </c>
      <c r="BO23" s="3" t="e">
        <f>AY23</f>
      </c>
      <c r="BP23" s="3" t="e">
        <f>BK23</f>
      </c>
    </row>
    <row r="24">
      <c r="A24" t="str">
        <v>Commercial salarié n°5 — productivité (ramp)</v>
      </c>
      <c r="B24" t="str">
        <v>%</v>
      </c>
      <c r="C24" s="2">
        <v>0</v>
      </c>
      <c r="D24" s="2" t="e">
        <f>IF(D22=1,MIN(1,D23/'Hypothèses'!$D$19),0)</f>
      </c>
      <c r="E24" s="2" t="e">
        <f>IF(E22=1,MIN(1,E23/'Hypothèses'!$D$19),0)</f>
      </c>
      <c r="F24" s="2" t="e">
        <f>IF(F22=1,MIN(1,F23/'Hypothèses'!$D$19),0)</f>
      </c>
      <c r="G24" s="2" t="e">
        <f>IF(G22=1,MIN(1,G23/'Hypothèses'!$D$19),0)</f>
      </c>
      <c r="H24" s="2" t="e">
        <f>IF(H22=1,MIN(1,H23/'Hypothèses'!$D$19),0)</f>
      </c>
      <c r="I24" s="2" t="e">
        <f>IF(I22=1,MIN(1,I23/'Hypothèses'!$D$19),0)</f>
      </c>
      <c r="J24" s="2" t="e">
        <f>IF(J22=1,MIN(1,J23/'Hypothèses'!$D$19),0)</f>
      </c>
      <c r="K24" s="2" t="e">
        <f>IF(K22=1,MIN(1,K23/'Hypothèses'!$D$19),0)</f>
      </c>
      <c r="L24" s="2" t="e">
        <f>IF(L22=1,MIN(1,L23/'Hypothèses'!$D$19),0)</f>
      </c>
      <c r="M24" s="2" t="e">
        <f>IF(M22=1,MIN(1,M23/'Hypothèses'!$D$19),0)</f>
      </c>
      <c r="N24" s="2" t="e">
        <f>IF(N22=1,MIN(1,N23/'Hypothèses'!$D$19),0)</f>
      </c>
      <c r="O24" s="2" t="e">
        <f>IF(O22=1,MIN(1,O23/'Hypothèses'!$D$19),0)</f>
      </c>
      <c r="P24" s="2" t="e">
        <f>IF(P22=1,MIN(1,P23/'Hypothèses'!$D$19),0)</f>
      </c>
      <c r="Q24" s="2" t="e">
        <f>IF(Q22=1,MIN(1,Q23/'Hypothèses'!$D$19),0)</f>
      </c>
      <c r="R24" s="2" t="e">
        <f>IF(R22=1,MIN(1,R23/'Hypothèses'!$D$19),0)</f>
      </c>
      <c r="S24" s="2" t="e">
        <f>IF(S22=1,MIN(1,S23/'Hypothèses'!$D$19),0)</f>
      </c>
      <c r="T24" s="2" t="e">
        <f>IF(T22=1,MIN(1,T23/'Hypothèses'!$D$19),0)</f>
      </c>
      <c r="U24" s="2" t="e">
        <f>IF(U22=1,MIN(1,U23/'Hypothèses'!$D$19),0)</f>
      </c>
      <c r="V24" s="2" t="e">
        <f>IF(V22=1,MIN(1,V23/'Hypothèses'!$D$19),0)</f>
      </c>
      <c r="W24" s="2" t="e">
        <f>IF(W22=1,MIN(1,W23/'Hypothèses'!$D$19),0)</f>
      </c>
      <c r="X24" s="2" t="e">
        <f>IF(X22=1,MIN(1,X23/'Hypothèses'!$D$19),0)</f>
      </c>
      <c r="Y24" s="2" t="e">
        <f>IF(Y22=1,MIN(1,Y23/'Hypothèses'!$D$19),0)</f>
      </c>
      <c r="Z24" s="2" t="e">
        <f>IF(Z22=1,MIN(1,Z23/'Hypothèses'!$D$19),0)</f>
      </c>
      <c r="AA24" s="2" t="e">
        <f>IF(AA22=1,MIN(1,AA23/'Hypothèses'!$D$19),0)</f>
      </c>
      <c r="AB24" s="2" t="e">
        <f>IF(AB22=1,MIN(1,AB23/'Hypothèses'!$D$19),0)</f>
      </c>
      <c r="AC24" s="2" t="e">
        <f>IF(AC22=1,MIN(1,AC23/'Hypothèses'!$D$19),0)</f>
      </c>
      <c r="AD24" s="2" t="e">
        <f>IF(AD22=1,MIN(1,AD23/'Hypothèses'!$D$19),0)</f>
      </c>
      <c r="AE24" s="2" t="e">
        <f>IF(AE22=1,MIN(1,AE23/'Hypothèses'!$D$19),0)</f>
      </c>
      <c r="AF24" s="2" t="e">
        <f>IF(AF22=1,MIN(1,AF23/'Hypothèses'!$D$19),0)</f>
      </c>
      <c r="AG24" s="2" t="e">
        <f>IF(AG22=1,MIN(1,AG23/'Hypothèses'!$D$19),0)</f>
      </c>
      <c r="AH24" s="2" t="e">
        <f>IF(AH22=1,MIN(1,AH23/'Hypothèses'!$D$19),0)</f>
      </c>
      <c r="AI24" s="2" t="e">
        <f>IF(AI22=1,MIN(1,AI23/'Hypothèses'!$D$19),0)</f>
      </c>
      <c r="AJ24" s="2" t="e">
        <f>IF(AJ22=1,MIN(1,AJ23/'Hypothèses'!$D$19),0)</f>
      </c>
      <c r="AK24" s="2" t="e">
        <f>IF(AK22=1,MIN(1,AK23/'Hypothèses'!$D$19),0)</f>
      </c>
      <c r="AL24" s="2" t="e">
        <f>IF(AL22=1,MIN(1,AL23/'Hypothèses'!$D$19),0)</f>
      </c>
      <c r="AM24" s="2" t="e">
        <f>IF(AM22=1,MIN(1,AM23/'Hypothèses'!$D$19),0)</f>
      </c>
      <c r="AN24" s="2" t="e">
        <f>IF(AN22=1,MIN(1,AN23/'Hypothèses'!$D$19),0)</f>
      </c>
      <c r="AO24" s="2" t="e">
        <f>IF(AO22=1,MIN(1,AO23/'Hypothèses'!$D$19),0)</f>
      </c>
      <c r="AP24" s="2" t="e">
        <f>IF(AP22=1,MIN(1,AP23/'Hypothèses'!$D$19),0)</f>
      </c>
      <c r="AQ24" s="2" t="e">
        <f>IF(AQ22=1,MIN(1,AQ23/'Hypothèses'!$D$19),0)</f>
      </c>
      <c r="AR24" s="2" t="e">
        <f>IF(AR22=1,MIN(1,AR23/'Hypothèses'!$D$19),0)</f>
      </c>
      <c r="AS24" s="2" t="e">
        <f>IF(AS22=1,MIN(1,AS23/'Hypothèses'!$D$19),0)</f>
      </c>
      <c r="AT24" s="2" t="e">
        <f>IF(AT22=1,MIN(1,AT23/'Hypothèses'!$D$19),0)</f>
      </c>
      <c r="AU24" s="2" t="e">
        <f>IF(AU22=1,MIN(1,AU23/'Hypothèses'!$D$19),0)</f>
      </c>
      <c r="AV24" s="2" t="e">
        <f>IF(AV22=1,MIN(1,AV23/'Hypothèses'!$D$19),0)</f>
      </c>
      <c r="AW24" s="2" t="e">
        <f>IF(AW22=1,MIN(1,AW23/'Hypothèses'!$D$19),0)</f>
      </c>
      <c r="AX24" s="2" t="e">
        <f>IF(AX22=1,MIN(1,AX23/'Hypothèses'!$D$19),0)</f>
      </c>
      <c r="AY24" s="2" t="e">
        <f>IF(AY22=1,MIN(1,AY23/'Hypothèses'!$D$19),0)</f>
      </c>
      <c r="AZ24" s="2" t="e">
        <f>IF(AZ22=1,MIN(1,AZ23/'Hypothèses'!$D$19),0)</f>
      </c>
      <c r="BA24" s="2" t="e">
        <f>IF(BA22=1,MIN(1,BA23/'Hypothèses'!$D$19),0)</f>
      </c>
      <c r="BB24" s="2" t="e">
        <f>IF(BB22=1,MIN(1,BB23/'Hypothèses'!$D$19),0)</f>
      </c>
      <c r="BC24" s="2" t="e">
        <f>IF(BC22=1,MIN(1,BC23/'Hypothèses'!$D$19),0)</f>
      </c>
      <c r="BD24" s="2" t="e">
        <f>IF(BD22=1,MIN(1,BD23/'Hypothèses'!$D$19),0)</f>
      </c>
      <c r="BE24" s="2" t="e">
        <f>IF(BE22=1,MIN(1,BE23/'Hypothèses'!$D$19),0)</f>
      </c>
      <c r="BF24" s="2" t="e">
        <f>IF(BF22=1,MIN(1,BF23/'Hypothèses'!$D$19),0)</f>
      </c>
      <c r="BG24" s="2" t="e">
        <f>IF(BG22=1,MIN(1,BG23/'Hypothèses'!$D$19),0)</f>
      </c>
      <c r="BH24" s="2" t="e">
        <f>IF(BH22=1,MIN(1,BH23/'Hypothèses'!$D$19),0)</f>
      </c>
      <c r="BI24" s="2" t="e">
        <f>IF(BI22=1,MIN(1,BI23/'Hypothèses'!$D$19),0)</f>
      </c>
      <c r="BJ24" s="2" t="e">
        <f>IF(BJ22=1,MIN(1,BJ23/'Hypothèses'!$D$19),0)</f>
      </c>
      <c r="BK24" s="2" t="e">
        <f>IF(BK22=1,MIN(1,BK23/'Hypothèses'!$D$19),0)</f>
      </c>
      <c r="BL24" s="2" t="e">
        <f>AVERAGE(D24:O24)</f>
      </c>
      <c r="BM24" s="2" t="e">
        <f>AVERAGE(P24:AA24)</f>
      </c>
      <c r="BN24" s="2" t="e">
        <f>AVERAGE(AB24:AM24)</f>
      </c>
      <c r="BO24" s="2" t="e">
        <f>AVERAGE(AN24:AY24)</f>
      </c>
      <c r="BP24" s="2" t="e">
        <f>AVERAGE(AZ24:BK24)</f>
      </c>
    </row>
    <row r="25">
      <c r="A25" t="str">
        <v>Commercial salarié n°6 en poste (1/0)</v>
      </c>
      <c r="B25" t="str">
        <v>0/1</v>
      </c>
      <c r="C25" s="3">
        <v>0</v>
      </c>
      <c r="D25" s="3" t="e">
        <f>IF(1&gt;='Hypothèses'!$D$32,1,0)</f>
      </c>
      <c r="E25" s="3" t="e">
        <f>IF(2&gt;='Hypothèses'!$D$32,1,0)</f>
      </c>
      <c r="F25" s="3" t="e">
        <f>IF(3&gt;='Hypothèses'!$D$32,1,0)</f>
      </c>
      <c r="G25" s="3" t="e">
        <f>IF(4&gt;='Hypothèses'!$D$32,1,0)</f>
      </c>
      <c r="H25" s="3" t="e">
        <f>IF(5&gt;='Hypothèses'!$D$32,1,0)</f>
      </c>
      <c r="I25" s="3" t="e">
        <f>IF(6&gt;='Hypothèses'!$D$32,1,0)</f>
      </c>
      <c r="J25" s="3" t="e">
        <f>IF(7&gt;='Hypothèses'!$D$32,1,0)</f>
      </c>
      <c r="K25" s="3" t="e">
        <f>IF(8&gt;='Hypothèses'!$D$32,1,0)</f>
      </c>
      <c r="L25" s="3" t="e">
        <f>IF(9&gt;='Hypothèses'!$D$32,1,0)</f>
      </c>
      <c r="M25" s="3" t="e">
        <f>IF(10&gt;='Hypothèses'!$D$32,1,0)</f>
      </c>
      <c r="N25" s="3" t="e">
        <f>IF(11&gt;='Hypothèses'!$D$32,1,0)</f>
      </c>
      <c r="O25" s="3" t="e">
        <f>IF(12&gt;='Hypothèses'!$D$32,1,0)</f>
      </c>
      <c r="P25" s="3" t="e">
        <f>IF(13&gt;='Hypothèses'!$D$32,1,0)</f>
      </c>
      <c r="Q25" s="3" t="e">
        <f>IF(14&gt;='Hypothèses'!$D$32,1,0)</f>
      </c>
      <c r="R25" s="3" t="e">
        <f>IF(15&gt;='Hypothèses'!$D$32,1,0)</f>
      </c>
      <c r="S25" s="3" t="e">
        <f>IF(16&gt;='Hypothèses'!$D$32,1,0)</f>
      </c>
      <c r="T25" s="3" t="e">
        <f>IF(17&gt;='Hypothèses'!$D$32,1,0)</f>
      </c>
      <c r="U25" s="3" t="e">
        <f>IF(18&gt;='Hypothèses'!$D$32,1,0)</f>
      </c>
      <c r="V25" s="3" t="e">
        <f>IF(19&gt;='Hypothèses'!$D$32,1,0)</f>
      </c>
      <c r="W25" s="3" t="e">
        <f>IF(20&gt;='Hypothèses'!$D$32,1,0)</f>
      </c>
      <c r="X25" s="3" t="e">
        <f>IF(21&gt;='Hypothèses'!$D$32,1,0)</f>
      </c>
      <c r="Y25" s="3" t="e">
        <f>IF(22&gt;='Hypothèses'!$D$32,1,0)</f>
      </c>
      <c r="Z25" s="3" t="e">
        <f>IF(23&gt;='Hypothèses'!$D$32,1,0)</f>
      </c>
      <c r="AA25" s="3" t="e">
        <f>IF(24&gt;='Hypothèses'!$D$32,1,0)</f>
      </c>
      <c r="AB25" s="3" t="e">
        <f>IF(25&gt;='Hypothèses'!$D$32,1,0)</f>
      </c>
      <c r="AC25" s="3" t="e">
        <f>IF(26&gt;='Hypothèses'!$D$32,1,0)</f>
      </c>
      <c r="AD25" s="3" t="e">
        <f>IF(27&gt;='Hypothèses'!$D$32,1,0)</f>
      </c>
      <c r="AE25" s="3" t="e">
        <f>IF(28&gt;='Hypothèses'!$D$32,1,0)</f>
      </c>
      <c r="AF25" s="3" t="e">
        <f>IF(29&gt;='Hypothèses'!$D$32,1,0)</f>
      </c>
      <c r="AG25" s="3" t="e">
        <f>IF(30&gt;='Hypothèses'!$D$32,1,0)</f>
      </c>
      <c r="AH25" s="3" t="e">
        <f>IF(31&gt;='Hypothèses'!$D$32,1,0)</f>
      </c>
      <c r="AI25" s="3" t="e">
        <f>IF(32&gt;='Hypothèses'!$D$32,1,0)</f>
      </c>
      <c r="AJ25" s="3" t="e">
        <f>IF(33&gt;='Hypothèses'!$D$32,1,0)</f>
      </c>
      <c r="AK25" s="3" t="e">
        <f>IF(34&gt;='Hypothèses'!$D$32,1,0)</f>
      </c>
      <c r="AL25" s="3" t="e">
        <f>IF(35&gt;='Hypothèses'!$D$32,1,0)</f>
      </c>
      <c r="AM25" s="3" t="e">
        <f>IF(36&gt;='Hypothèses'!$D$32,1,0)</f>
      </c>
      <c r="AN25" s="3" t="e">
        <f>IF(37&gt;='Hypothèses'!$D$32,1,0)</f>
      </c>
      <c r="AO25" s="3" t="e">
        <f>IF(38&gt;='Hypothèses'!$D$32,1,0)</f>
      </c>
      <c r="AP25" s="3" t="e">
        <f>IF(39&gt;='Hypothèses'!$D$32,1,0)</f>
      </c>
      <c r="AQ25" s="3" t="e">
        <f>IF(40&gt;='Hypothèses'!$D$32,1,0)</f>
      </c>
      <c r="AR25" s="3" t="e">
        <f>IF(41&gt;='Hypothèses'!$D$32,1,0)</f>
      </c>
      <c r="AS25" s="3" t="e">
        <f>IF(42&gt;='Hypothèses'!$D$32,1,0)</f>
      </c>
      <c r="AT25" s="3" t="e">
        <f>IF(43&gt;='Hypothèses'!$D$32,1,0)</f>
      </c>
      <c r="AU25" s="3" t="e">
        <f>IF(44&gt;='Hypothèses'!$D$32,1,0)</f>
      </c>
      <c r="AV25" s="3" t="e">
        <f>IF(45&gt;='Hypothèses'!$D$32,1,0)</f>
      </c>
      <c r="AW25" s="3" t="e">
        <f>IF(46&gt;='Hypothèses'!$D$32,1,0)</f>
      </c>
      <c r="AX25" s="3" t="e">
        <f>IF(47&gt;='Hypothèses'!$D$32,1,0)</f>
      </c>
      <c r="AY25" s="3" t="e">
        <f>IF(48&gt;='Hypothèses'!$D$32,1,0)</f>
      </c>
      <c r="AZ25" s="3" t="e">
        <f>IF(49&gt;='Hypothèses'!$D$32,1,0)</f>
      </c>
      <c r="BA25" s="3" t="e">
        <f>IF(50&gt;='Hypothèses'!$D$32,1,0)</f>
      </c>
      <c r="BB25" s="3" t="e">
        <f>IF(51&gt;='Hypothèses'!$D$32,1,0)</f>
      </c>
      <c r="BC25" s="3" t="e">
        <f>IF(52&gt;='Hypothèses'!$D$32,1,0)</f>
      </c>
      <c r="BD25" s="3" t="e">
        <f>IF(53&gt;='Hypothèses'!$D$32,1,0)</f>
      </c>
      <c r="BE25" s="3" t="e">
        <f>IF(54&gt;='Hypothèses'!$D$32,1,0)</f>
      </c>
      <c r="BF25" s="3" t="e">
        <f>IF(55&gt;='Hypothèses'!$D$32,1,0)</f>
      </c>
      <c r="BG25" s="3" t="e">
        <f>IF(56&gt;='Hypothèses'!$D$32,1,0)</f>
      </c>
      <c r="BH25" s="3" t="e">
        <f>IF(57&gt;='Hypothèses'!$D$32,1,0)</f>
      </c>
      <c r="BI25" s="3" t="e">
        <f>IF(58&gt;='Hypothèses'!$D$32,1,0)</f>
      </c>
      <c r="BJ25" s="3" t="e">
        <f>IF(59&gt;='Hypothèses'!$D$32,1,0)</f>
      </c>
      <c r="BK25" s="3" t="e">
        <f>IF(60&gt;='Hypothèses'!$D$32,1,0)</f>
      </c>
      <c r="BL25" s="3" t="e">
        <f>O25</f>
      </c>
      <c r="BM25" s="3" t="e">
        <f>AA25</f>
      </c>
      <c r="BN25" s="3" t="e">
        <f>AM25</f>
      </c>
      <c r="BO25" s="3" t="e">
        <f>AY25</f>
      </c>
      <c r="BP25" s="3" t="e">
        <f>BK25</f>
      </c>
    </row>
    <row r="26">
      <c r="A26" t="str">
        <v>Commercial salarié n°6 — ancienneté</v>
      </c>
      <c r="B26" t="str">
        <v>mois</v>
      </c>
      <c r="C26" s="3">
        <v>0</v>
      </c>
      <c r="D26" s="3" t="e">
        <f>IF(D25=1,C26+1,0)</f>
      </c>
      <c r="E26" s="3" t="e">
        <f>IF(E25=1,D26+1,0)</f>
      </c>
      <c r="F26" s="3" t="e">
        <f>IF(F25=1,E26+1,0)</f>
      </c>
      <c r="G26" s="3" t="e">
        <f>IF(G25=1,F26+1,0)</f>
      </c>
      <c r="H26" s="3" t="e">
        <f>IF(H25=1,G26+1,0)</f>
      </c>
      <c r="I26" s="3" t="e">
        <f>IF(I25=1,H26+1,0)</f>
      </c>
      <c r="J26" s="3" t="e">
        <f>IF(J25=1,I26+1,0)</f>
      </c>
      <c r="K26" s="3" t="e">
        <f>IF(K25=1,J26+1,0)</f>
      </c>
      <c r="L26" s="3" t="e">
        <f>IF(L25=1,K26+1,0)</f>
      </c>
      <c r="M26" s="3" t="e">
        <f>IF(M25=1,L26+1,0)</f>
      </c>
      <c r="N26" s="3" t="e">
        <f>IF(N25=1,M26+1,0)</f>
      </c>
      <c r="O26" s="3" t="e">
        <f>IF(O25=1,N26+1,0)</f>
      </c>
      <c r="P26" s="3" t="e">
        <f>IF(P25=1,O26+1,0)</f>
      </c>
      <c r="Q26" s="3" t="e">
        <f>IF(Q25=1,P26+1,0)</f>
      </c>
      <c r="R26" s="3" t="e">
        <f>IF(R25=1,Q26+1,0)</f>
      </c>
      <c r="S26" s="3" t="e">
        <f>IF(S25=1,R26+1,0)</f>
      </c>
      <c r="T26" s="3" t="e">
        <f>IF(T25=1,S26+1,0)</f>
      </c>
      <c r="U26" s="3" t="e">
        <f>IF(U25=1,T26+1,0)</f>
      </c>
      <c r="V26" s="3" t="e">
        <f>IF(V25=1,U26+1,0)</f>
      </c>
      <c r="W26" s="3" t="e">
        <f>IF(W25=1,V26+1,0)</f>
      </c>
      <c r="X26" s="3" t="e">
        <f>IF(X25=1,W26+1,0)</f>
      </c>
      <c r="Y26" s="3" t="e">
        <f>IF(Y25=1,X26+1,0)</f>
      </c>
      <c r="Z26" s="3" t="e">
        <f>IF(Z25=1,Y26+1,0)</f>
      </c>
      <c r="AA26" s="3" t="e">
        <f>IF(AA25=1,Z26+1,0)</f>
      </c>
      <c r="AB26" s="3" t="e">
        <f>IF(AB25=1,AA26+1,0)</f>
      </c>
      <c r="AC26" s="3" t="e">
        <f>IF(AC25=1,AB26+1,0)</f>
      </c>
      <c r="AD26" s="3" t="e">
        <f>IF(AD25=1,AC26+1,0)</f>
      </c>
      <c r="AE26" s="3" t="e">
        <f>IF(AE25=1,AD26+1,0)</f>
      </c>
      <c r="AF26" s="3" t="e">
        <f>IF(AF25=1,AE26+1,0)</f>
      </c>
      <c r="AG26" s="3" t="e">
        <f>IF(AG25=1,AF26+1,0)</f>
      </c>
      <c r="AH26" s="3" t="e">
        <f>IF(AH25=1,AG26+1,0)</f>
      </c>
      <c r="AI26" s="3" t="e">
        <f>IF(AI25=1,AH26+1,0)</f>
      </c>
      <c r="AJ26" s="3" t="e">
        <f>IF(AJ25=1,AI26+1,0)</f>
      </c>
      <c r="AK26" s="3" t="e">
        <f>IF(AK25=1,AJ26+1,0)</f>
      </c>
      <c r="AL26" s="3" t="e">
        <f>IF(AL25=1,AK26+1,0)</f>
      </c>
      <c r="AM26" s="3" t="e">
        <f>IF(AM25=1,AL26+1,0)</f>
      </c>
      <c r="AN26" s="3" t="e">
        <f>IF(AN25=1,AM26+1,0)</f>
      </c>
      <c r="AO26" s="3" t="e">
        <f>IF(AO25=1,AN26+1,0)</f>
      </c>
      <c r="AP26" s="3" t="e">
        <f>IF(AP25=1,AO26+1,0)</f>
      </c>
      <c r="AQ26" s="3" t="e">
        <f>IF(AQ25=1,AP26+1,0)</f>
      </c>
      <c r="AR26" s="3" t="e">
        <f>IF(AR25=1,AQ26+1,0)</f>
      </c>
      <c r="AS26" s="3" t="e">
        <f>IF(AS25=1,AR26+1,0)</f>
      </c>
      <c r="AT26" s="3" t="e">
        <f>IF(AT25=1,AS26+1,0)</f>
      </c>
      <c r="AU26" s="3" t="e">
        <f>IF(AU25=1,AT26+1,0)</f>
      </c>
      <c r="AV26" s="3" t="e">
        <f>IF(AV25=1,AU26+1,0)</f>
      </c>
      <c r="AW26" s="3" t="e">
        <f>IF(AW25=1,AV26+1,0)</f>
      </c>
      <c r="AX26" s="3" t="e">
        <f>IF(AX25=1,AW26+1,0)</f>
      </c>
      <c r="AY26" s="3" t="e">
        <f>IF(AY25=1,AX26+1,0)</f>
      </c>
      <c r="AZ26" s="3" t="e">
        <f>IF(AZ25=1,AY26+1,0)</f>
      </c>
      <c r="BA26" s="3" t="e">
        <f>IF(BA25=1,AZ26+1,0)</f>
      </c>
      <c r="BB26" s="3" t="e">
        <f>IF(BB25=1,BA26+1,0)</f>
      </c>
      <c r="BC26" s="3" t="e">
        <f>IF(BC25=1,BB26+1,0)</f>
      </c>
      <c r="BD26" s="3" t="e">
        <f>IF(BD25=1,BC26+1,0)</f>
      </c>
      <c r="BE26" s="3" t="e">
        <f>IF(BE25=1,BD26+1,0)</f>
      </c>
      <c r="BF26" s="3" t="e">
        <f>IF(BF25=1,BE26+1,0)</f>
      </c>
      <c r="BG26" s="3" t="e">
        <f>IF(BG25=1,BF26+1,0)</f>
      </c>
      <c r="BH26" s="3" t="e">
        <f>IF(BH25=1,BG26+1,0)</f>
      </c>
      <c r="BI26" s="3" t="e">
        <f>IF(BI25=1,BH26+1,0)</f>
      </c>
      <c r="BJ26" s="3" t="e">
        <f>IF(BJ25=1,BI26+1,0)</f>
      </c>
      <c r="BK26" s="3" t="e">
        <f>IF(BK25=1,BJ26+1,0)</f>
      </c>
      <c r="BL26" s="3" t="e">
        <f>O26</f>
      </c>
      <c r="BM26" s="3" t="e">
        <f>AA26</f>
      </c>
      <c r="BN26" s="3" t="e">
        <f>AM26</f>
      </c>
      <c r="BO26" s="3" t="e">
        <f>AY26</f>
      </c>
      <c r="BP26" s="3" t="e">
        <f>BK26</f>
      </c>
    </row>
    <row r="27">
      <c r="A27" t="str">
        <v>Commercial salarié n°6 — productivité (ramp)</v>
      </c>
      <c r="B27" t="str">
        <v>%</v>
      </c>
      <c r="C27" s="2">
        <v>0</v>
      </c>
      <c r="D27" s="2" t="e">
        <f>IF(D25=1,MIN(1,D26/'Hypothèses'!$D$19),0)</f>
      </c>
      <c r="E27" s="2" t="e">
        <f>IF(E25=1,MIN(1,E26/'Hypothèses'!$D$19),0)</f>
      </c>
      <c r="F27" s="2" t="e">
        <f>IF(F25=1,MIN(1,F26/'Hypothèses'!$D$19),0)</f>
      </c>
      <c r="G27" s="2" t="e">
        <f>IF(G25=1,MIN(1,G26/'Hypothèses'!$D$19),0)</f>
      </c>
      <c r="H27" s="2" t="e">
        <f>IF(H25=1,MIN(1,H26/'Hypothèses'!$D$19),0)</f>
      </c>
      <c r="I27" s="2" t="e">
        <f>IF(I25=1,MIN(1,I26/'Hypothèses'!$D$19),0)</f>
      </c>
      <c r="J27" s="2" t="e">
        <f>IF(J25=1,MIN(1,J26/'Hypothèses'!$D$19),0)</f>
      </c>
      <c r="K27" s="2" t="e">
        <f>IF(K25=1,MIN(1,K26/'Hypothèses'!$D$19),0)</f>
      </c>
      <c r="L27" s="2" t="e">
        <f>IF(L25=1,MIN(1,L26/'Hypothèses'!$D$19),0)</f>
      </c>
      <c r="M27" s="2" t="e">
        <f>IF(M25=1,MIN(1,M26/'Hypothèses'!$D$19),0)</f>
      </c>
      <c r="N27" s="2" t="e">
        <f>IF(N25=1,MIN(1,N26/'Hypothèses'!$D$19),0)</f>
      </c>
      <c r="O27" s="2" t="e">
        <f>IF(O25=1,MIN(1,O26/'Hypothèses'!$D$19),0)</f>
      </c>
      <c r="P27" s="2" t="e">
        <f>IF(P25=1,MIN(1,P26/'Hypothèses'!$D$19),0)</f>
      </c>
      <c r="Q27" s="2" t="e">
        <f>IF(Q25=1,MIN(1,Q26/'Hypothèses'!$D$19),0)</f>
      </c>
      <c r="R27" s="2" t="e">
        <f>IF(R25=1,MIN(1,R26/'Hypothèses'!$D$19),0)</f>
      </c>
      <c r="S27" s="2" t="e">
        <f>IF(S25=1,MIN(1,S26/'Hypothèses'!$D$19),0)</f>
      </c>
      <c r="T27" s="2" t="e">
        <f>IF(T25=1,MIN(1,T26/'Hypothèses'!$D$19),0)</f>
      </c>
      <c r="U27" s="2" t="e">
        <f>IF(U25=1,MIN(1,U26/'Hypothèses'!$D$19),0)</f>
      </c>
      <c r="V27" s="2" t="e">
        <f>IF(V25=1,MIN(1,V26/'Hypothèses'!$D$19),0)</f>
      </c>
      <c r="W27" s="2" t="e">
        <f>IF(W25=1,MIN(1,W26/'Hypothèses'!$D$19),0)</f>
      </c>
      <c r="X27" s="2" t="e">
        <f>IF(X25=1,MIN(1,X26/'Hypothèses'!$D$19),0)</f>
      </c>
      <c r="Y27" s="2" t="e">
        <f>IF(Y25=1,MIN(1,Y26/'Hypothèses'!$D$19),0)</f>
      </c>
      <c r="Z27" s="2" t="e">
        <f>IF(Z25=1,MIN(1,Z26/'Hypothèses'!$D$19),0)</f>
      </c>
      <c r="AA27" s="2" t="e">
        <f>IF(AA25=1,MIN(1,AA26/'Hypothèses'!$D$19),0)</f>
      </c>
      <c r="AB27" s="2" t="e">
        <f>IF(AB25=1,MIN(1,AB26/'Hypothèses'!$D$19),0)</f>
      </c>
      <c r="AC27" s="2" t="e">
        <f>IF(AC25=1,MIN(1,AC26/'Hypothèses'!$D$19),0)</f>
      </c>
      <c r="AD27" s="2" t="e">
        <f>IF(AD25=1,MIN(1,AD26/'Hypothèses'!$D$19),0)</f>
      </c>
      <c r="AE27" s="2" t="e">
        <f>IF(AE25=1,MIN(1,AE26/'Hypothèses'!$D$19),0)</f>
      </c>
      <c r="AF27" s="2" t="e">
        <f>IF(AF25=1,MIN(1,AF26/'Hypothèses'!$D$19),0)</f>
      </c>
      <c r="AG27" s="2" t="e">
        <f>IF(AG25=1,MIN(1,AG26/'Hypothèses'!$D$19),0)</f>
      </c>
      <c r="AH27" s="2" t="e">
        <f>IF(AH25=1,MIN(1,AH26/'Hypothèses'!$D$19),0)</f>
      </c>
      <c r="AI27" s="2" t="e">
        <f>IF(AI25=1,MIN(1,AI26/'Hypothèses'!$D$19),0)</f>
      </c>
      <c r="AJ27" s="2" t="e">
        <f>IF(AJ25=1,MIN(1,AJ26/'Hypothèses'!$D$19),0)</f>
      </c>
      <c r="AK27" s="2" t="e">
        <f>IF(AK25=1,MIN(1,AK26/'Hypothèses'!$D$19),0)</f>
      </c>
      <c r="AL27" s="2" t="e">
        <f>IF(AL25=1,MIN(1,AL26/'Hypothèses'!$D$19),0)</f>
      </c>
      <c r="AM27" s="2" t="e">
        <f>IF(AM25=1,MIN(1,AM26/'Hypothèses'!$D$19),0)</f>
      </c>
      <c r="AN27" s="2" t="e">
        <f>IF(AN25=1,MIN(1,AN26/'Hypothèses'!$D$19),0)</f>
      </c>
      <c r="AO27" s="2" t="e">
        <f>IF(AO25=1,MIN(1,AO26/'Hypothèses'!$D$19),0)</f>
      </c>
      <c r="AP27" s="2" t="e">
        <f>IF(AP25=1,MIN(1,AP26/'Hypothèses'!$D$19),0)</f>
      </c>
      <c r="AQ27" s="2" t="e">
        <f>IF(AQ25=1,MIN(1,AQ26/'Hypothèses'!$D$19),0)</f>
      </c>
      <c r="AR27" s="2" t="e">
        <f>IF(AR25=1,MIN(1,AR26/'Hypothèses'!$D$19),0)</f>
      </c>
      <c r="AS27" s="2" t="e">
        <f>IF(AS25=1,MIN(1,AS26/'Hypothèses'!$D$19),0)</f>
      </c>
      <c r="AT27" s="2" t="e">
        <f>IF(AT25=1,MIN(1,AT26/'Hypothèses'!$D$19),0)</f>
      </c>
      <c r="AU27" s="2" t="e">
        <f>IF(AU25=1,MIN(1,AU26/'Hypothèses'!$D$19),0)</f>
      </c>
      <c r="AV27" s="2" t="e">
        <f>IF(AV25=1,MIN(1,AV26/'Hypothèses'!$D$19),0)</f>
      </c>
      <c r="AW27" s="2" t="e">
        <f>IF(AW25=1,MIN(1,AW26/'Hypothèses'!$D$19),0)</f>
      </c>
      <c r="AX27" s="2" t="e">
        <f>IF(AX25=1,MIN(1,AX26/'Hypothèses'!$D$19),0)</f>
      </c>
      <c r="AY27" s="2" t="e">
        <f>IF(AY25=1,MIN(1,AY26/'Hypothèses'!$D$19),0)</f>
      </c>
      <c r="AZ27" s="2" t="e">
        <f>IF(AZ25=1,MIN(1,AZ26/'Hypothèses'!$D$19),0)</f>
      </c>
      <c r="BA27" s="2" t="e">
        <f>IF(BA25=1,MIN(1,BA26/'Hypothèses'!$D$19),0)</f>
      </c>
      <c r="BB27" s="2" t="e">
        <f>IF(BB25=1,MIN(1,BB26/'Hypothèses'!$D$19),0)</f>
      </c>
      <c r="BC27" s="2" t="e">
        <f>IF(BC25=1,MIN(1,BC26/'Hypothèses'!$D$19),0)</f>
      </c>
      <c r="BD27" s="2" t="e">
        <f>IF(BD25=1,MIN(1,BD26/'Hypothèses'!$D$19),0)</f>
      </c>
      <c r="BE27" s="2" t="e">
        <f>IF(BE25=1,MIN(1,BE26/'Hypothèses'!$D$19),0)</f>
      </c>
      <c r="BF27" s="2" t="e">
        <f>IF(BF25=1,MIN(1,BF26/'Hypothèses'!$D$19),0)</f>
      </c>
      <c r="BG27" s="2" t="e">
        <f>IF(BG25=1,MIN(1,BG26/'Hypothèses'!$D$19),0)</f>
      </c>
      <c r="BH27" s="2" t="e">
        <f>IF(BH25=1,MIN(1,BH26/'Hypothèses'!$D$19),0)</f>
      </c>
      <c r="BI27" s="2" t="e">
        <f>IF(BI25=1,MIN(1,BI26/'Hypothèses'!$D$19),0)</f>
      </c>
      <c r="BJ27" s="2" t="e">
        <f>IF(BJ25=1,MIN(1,BJ26/'Hypothèses'!$D$19),0)</f>
      </c>
      <c r="BK27" s="2" t="e">
        <f>IF(BK25=1,MIN(1,BK26/'Hypothèses'!$D$19),0)</f>
      </c>
      <c r="BL27" s="2" t="e">
        <f>AVERAGE(D27:O27)</f>
      </c>
      <c r="BM27" s="2" t="e">
        <f>AVERAGE(P27:AA27)</f>
      </c>
      <c r="BN27" s="2" t="e">
        <f>AVERAGE(AB27:AM27)</f>
      </c>
      <c r="BO27" s="2" t="e">
        <f>AVERAGE(AN27:AY27)</f>
      </c>
      <c r="BP27" s="2" t="e">
        <f>AVERAGE(AZ27:BK27)</f>
      </c>
    </row>
    <row r="28">
      <c r="A28" t="str">
        <v>Commercial salarié n°7 en poste (1/0)</v>
      </c>
      <c r="B28" t="str">
        <v>0/1</v>
      </c>
      <c r="C28" s="3">
        <v>0</v>
      </c>
      <c r="D28" s="3" t="e">
        <f>IF(1&gt;='Hypothèses'!$D$33,1,0)</f>
      </c>
      <c r="E28" s="3" t="e">
        <f>IF(2&gt;='Hypothèses'!$D$33,1,0)</f>
      </c>
      <c r="F28" s="3" t="e">
        <f>IF(3&gt;='Hypothèses'!$D$33,1,0)</f>
      </c>
      <c r="G28" s="3" t="e">
        <f>IF(4&gt;='Hypothèses'!$D$33,1,0)</f>
      </c>
      <c r="H28" s="3" t="e">
        <f>IF(5&gt;='Hypothèses'!$D$33,1,0)</f>
      </c>
      <c r="I28" s="3" t="e">
        <f>IF(6&gt;='Hypothèses'!$D$33,1,0)</f>
      </c>
      <c r="J28" s="3" t="e">
        <f>IF(7&gt;='Hypothèses'!$D$33,1,0)</f>
      </c>
      <c r="K28" s="3" t="e">
        <f>IF(8&gt;='Hypothèses'!$D$33,1,0)</f>
      </c>
      <c r="L28" s="3" t="e">
        <f>IF(9&gt;='Hypothèses'!$D$33,1,0)</f>
      </c>
      <c r="M28" s="3" t="e">
        <f>IF(10&gt;='Hypothèses'!$D$33,1,0)</f>
      </c>
      <c r="N28" s="3" t="e">
        <f>IF(11&gt;='Hypothèses'!$D$33,1,0)</f>
      </c>
      <c r="O28" s="3" t="e">
        <f>IF(12&gt;='Hypothèses'!$D$33,1,0)</f>
      </c>
      <c r="P28" s="3" t="e">
        <f>IF(13&gt;='Hypothèses'!$D$33,1,0)</f>
      </c>
      <c r="Q28" s="3" t="e">
        <f>IF(14&gt;='Hypothèses'!$D$33,1,0)</f>
      </c>
      <c r="R28" s="3" t="e">
        <f>IF(15&gt;='Hypothèses'!$D$33,1,0)</f>
      </c>
      <c r="S28" s="3" t="e">
        <f>IF(16&gt;='Hypothèses'!$D$33,1,0)</f>
      </c>
      <c r="T28" s="3" t="e">
        <f>IF(17&gt;='Hypothèses'!$D$33,1,0)</f>
      </c>
      <c r="U28" s="3" t="e">
        <f>IF(18&gt;='Hypothèses'!$D$33,1,0)</f>
      </c>
      <c r="V28" s="3" t="e">
        <f>IF(19&gt;='Hypothèses'!$D$33,1,0)</f>
      </c>
      <c r="W28" s="3" t="e">
        <f>IF(20&gt;='Hypothèses'!$D$33,1,0)</f>
      </c>
      <c r="X28" s="3" t="e">
        <f>IF(21&gt;='Hypothèses'!$D$33,1,0)</f>
      </c>
      <c r="Y28" s="3" t="e">
        <f>IF(22&gt;='Hypothèses'!$D$33,1,0)</f>
      </c>
      <c r="Z28" s="3" t="e">
        <f>IF(23&gt;='Hypothèses'!$D$33,1,0)</f>
      </c>
      <c r="AA28" s="3" t="e">
        <f>IF(24&gt;='Hypothèses'!$D$33,1,0)</f>
      </c>
      <c r="AB28" s="3" t="e">
        <f>IF(25&gt;='Hypothèses'!$D$33,1,0)</f>
      </c>
      <c r="AC28" s="3" t="e">
        <f>IF(26&gt;='Hypothèses'!$D$33,1,0)</f>
      </c>
      <c r="AD28" s="3" t="e">
        <f>IF(27&gt;='Hypothèses'!$D$33,1,0)</f>
      </c>
      <c r="AE28" s="3" t="e">
        <f>IF(28&gt;='Hypothèses'!$D$33,1,0)</f>
      </c>
      <c r="AF28" s="3" t="e">
        <f>IF(29&gt;='Hypothèses'!$D$33,1,0)</f>
      </c>
      <c r="AG28" s="3" t="e">
        <f>IF(30&gt;='Hypothèses'!$D$33,1,0)</f>
      </c>
      <c r="AH28" s="3" t="e">
        <f>IF(31&gt;='Hypothèses'!$D$33,1,0)</f>
      </c>
      <c r="AI28" s="3" t="e">
        <f>IF(32&gt;='Hypothèses'!$D$33,1,0)</f>
      </c>
      <c r="AJ28" s="3" t="e">
        <f>IF(33&gt;='Hypothèses'!$D$33,1,0)</f>
      </c>
      <c r="AK28" s="3" t="e">
        <f>IF(34&gt;='Hypothèses'!$D$33,1,0)</f>
      </c>
      <c r="AL28" s="3" t="e">
        <f>IF(35&gt;='Hypothèses'!$D$33,1,0)</f>
      </c>
      <c r="AM28" s="3" t="e">
        <f>IF(36&gt;='Hypothèses'!$D$33,1,0)</f>
      </c>
      <c r="AN28" s="3" t="e">
        <f>IF(37&gt;='Hypothèses'!$D$33,1,0)</f>
      </c>
      <c r="AO28" s="3" t="e">
        <f>IF(38&gt;='Hypothèses'!$D$33,1,0)</f>
      </c>
      <c r="AP28" s="3" t="e">
        <f>IF(39&gt;='Hypothèses'!$D$33,1,0)</f>
      </c>
      <c r="AQ28" s="3" t="e">
        <f>IF(40&gt;='Hypothèses'!$D$33,1,0)</f>
      </c>
      <c r="AR28" s="3" t="e">
        <f>IF(41&gt;='Hypothèses'!$D$33,1,0)</f>
      </c>
      <c r="AS28" s="3" t="e">
        <f>IF(42&gt;='Hypothèses'!$D$33,1,0)</f>
      </c>
      <c r="AT28" s="3" t="e">
        <f>IF(43&gt;='Hypothèses'!$D$33,1,0)</f>
      </c>
      <c r="AU28" s="3" t="e">
        <f>IF(44&gt;='Hypothèses'!$D$33,1,0)</f>
      </c>
      <c r="AV28" s="3" t="e">
        <f>IF(45&gt;='Hypothèses'!$D$33,1,0)</f>
      </c>
      <c r="AW28" s="3" t="e">
        <f>IF(46&gt;='Hypothèses'!$D$33,1,0)</f>
      </c>
      <c r="AX28" s="3" t="e">
        <f>IF(47&gt;='Hypothèses'!$D$33,1,0)</f>
      </c>
      <c r="AY28" s="3" t="e">
        <f>IF(48&gt;='Hypothèses'!$D$33,1,0)</f>
      </c>
      <c r="AZ28" s="3" t="e">
        <f>IF(49&gt;='Hypothèses'!$D$33,1,0)</f>
      </c>
      <c r="BA28" s="3" t="e">
        <f>IF(50&gt;='Hypothèses'!$D$33,1,0)</f>
      </c>
      <c r="BB28" s="3" t="e">
        <f>IF(51&gt;='Hypothèses'!$D$33,1,0)</f>
      </c>
      <c r="BC28" s="3" t="e">
        <f>IF(52&gt;='Hypothèses'!$D$33,1,0)</f>
      </c>
      <c r="BD28" s="3" t="e">
        <f>IF(53&gt;='Hypothèses'!$D$33,1,0)</f>
      </c>
      <c r="BE28" s="3" t="e">
        <f>IF(54&gt;='Hypothèses'!$D$33,1,0)</f>
      </c>
      <c r="BF28" s="3" t="e">
        <f>IF(55&gt;='Hypothèses'!$D$33,1,0)</f>
      </c>
      <c r="BG28" s="3" t="e">
        <f>IF(56&gt;='Hypothèses'!$D$33,1,0)</f>
      </c>
      <c r="BH28" s="3" t="e">
        <f>IF(57&gt;='Hypothèses'!$D$33,1,0)</f>
      </c>
      <c r="BI28" s="3" t="e">
        <f>IF(58&gt;='Hypothèses'!$D$33,1,0)</f>
      </c>
      <c r="BJ28" s="3" t="e">
        <f>IF(59&gt;='Hypothèses'!$D$33,1,0)</f>
      </c>
      <c r="BK28" s="3" t="e">
        <f>IF(60&gt;='Hypothèses'!$D$33,1,0)</f>
      </c>
      <c r="BL28" s="3" t="e">
        <f>O28</f>
      </c>
      <c r="BM28" s="3" t="e">
        <f>AA28</f>
      </c>
      <c r="BN28" s="3" t="e">
        <f>AM28</f>
      </c>
      <c r="BO28" s="3" t="e">
        <f>AY28</f>
      </c>
      <c r="BP28" s="3" t="e">
        <f>BK28</f>
      </c>
    </row>
    <row r="29">
      <c r="A29" t="str">
        <v>Commercial salarié n°7 — ancienneté</v>
      </c>
      <c r="B29" t="str">
        <v>mois</v>
      </c>
      <c r="C29" s="3">
        <v>0</v>
      </c>
      <c r="D29" s="3" t="e">
        <f>IF(D28=1,C29+1,0)</f>
      </c>
      <c r="E29" s="3" t="e">
        <f>IF(E28=1,D29+1,0)</f>
      </c>
      <c r="F29" s="3" t="e">
        <f>IF(F28=1,E29+1,0)</f>
      </c>
      <c r="G29" s="3" t="e">
        <f>IF(G28=1,F29+1,0)</f>
      </c>
      <c r="H29" s="3" t="e">
        <f>IF(H28=1,G29+1,0)</f>
      </c>
      <c r="I29" s="3" t="e">
        <f>IF(I28=1,H29+1,0)</f>
      </c>
      <c r="J29" s="3" t="e">
        <f>IF(J28=1,I29+1,0)</f>
      </c>
      <c r="K29" s="3" t="e">
        <f>IF(K28=1,J29+1,0)</f>
      </c>
      <c r="L29" s="3" t="e">
        <f>IF(L28=1,K29+1,0)</f>
      </c>
      <c r="M29" s="3" t="e">
        <f>IF(M28=1,L29+1,0)</f>
      </c>
      <c r="N29" s="3" t="e">
        <f>IF(N28=1,M29+1,0)</f>
      </c>
      <c r="O29" s="3" t="e">
        <f>IF(O28=1,N29+1,0)</f>
      </c>
      <c r="P29" s="3" t="e">
        <f>IF(P28=1,O29+1,0)</f>
      </c>
      <c r="Q29" s="3" t="e">
        <f>IF(Q28=1,P29+1,0)</f>
      </c>
      <c r="R29" s="3" t="e">
        <f>IF(R28=1,Q29+1,0)</f>
      </c>
      <c r="S29" s="3" t="e">
        <f>IF(S28=1,R29+1,0)</f>
      </c>
      <c r="T29" s="3" t="e">
        <f>IF(T28=1,S29+1,0)</f>
      </c>
      <c r="U29" s="3" t="e">
        <f>IF(U28=1,T29+1,0)</f>
      </c>
      <c r="V29" s="3" t="e">
        <f>IF(V28=1,U29+1,0)</f>
      </c>
      <c r="W29" s="3" t="e">
        <f>IF(W28=1,V29+1,0)</f>
      </c>
      <c r="X29" s="3" t="e">
        <f>IF(X28=1,W29+1,0)</f>
      </c>
      <c r="Y29" s="3" t="e">
        <f>IF(Y28=1,X29+1,0)</f>
      </c>
      <c r="Z29" s="3" t="e">
        <f>IF(Z28=1,Y29+1,0)</f>
      </c>
      <c r="AA29" s="3" t="e">
        <f>IF(AA28=1,Z29+1,0)</f>
      </c>
      <c r="AB29" s="3" t="e">
        <f>IF(AB28=1,AA29+1,0)</f>
      </c>
      <c r="AC29" s="3" t="e">
        <f>IF(AC28=1,AB29+1,0)</f>
      </c>
      <c r="AD29" s="3" t="e">
        <f>IF(AD28=1,AC29+1,0)</f>
      </c>
      <c r="AE29" s="3" t="e">
        <f>IF(AE28=1,AD29+1,0)</f>
      </c>
      <c r="AF29" s="3" t="e">
        <f>IF(AF28=1,AE29+1,0)</f>
      </c>
      <c r="AG29" s="3" t="e">
        <f>IF(AG28=1,AF29+1,0)</f>
      </c>
      <c r="AH29" s="3" t="e">
        <f>IF(AH28=1,AG29+1,0)</f>
      </c>
      <c r="AI29" s="3" t="e">
        <f>IF(AI28=1,AH29+1,0)</f>
      </c>
      <c r="AJ29" s="3" t="e">
        <f>IF(AJ28=1,AI29+1,0)</f>
      </c>
      <c r="AK29" s="3" t="e">
        <f>IF(AK28=1,AJ29+1,0)</f>
      </c>
      <c r="AL29" s="3" t="e">
        <f>IF(AL28=1,AK29+1,0)</f>
      </c>
      <c r="AM29" s="3" t="e">
        <f>IF(AM28=1,AL29+1,0)</f>
      </c>
      <c r="AN29" s="3" t="e">
        <f>IF(AN28=1,AM29+1,0)</f>
      </c>
      <c r="AO29" s="3" t="e">
        <f>IF(AO28=1,AN29+1,0)</f>
      </c>
      <c r="AP29" s="3" t="e">
        <f>IF(AP28=1,AO29+1,0)</f>
      </c>
      <c r="AQ29" s="3" t="e">
        <f>IF(AQ28=1,AP29+1,0)</f>
      </c>
      <c r="AR29" s="3" t="e">
        <f>IF(AR28=1,AQ29+1,0)</f>
      </c>
      <c r="AS29" s="3" t="e">
        <f>IF(AS28=1,AR29+1,0)</f>
      </c>
      <c r="AT29" s="3" t="e">
        <f>IF(AT28=1,AS29+1,0)</f>
      </c>
      <c r="AU29" s="3" t="e">
        <f>IF(AU28=1,AT29+1,0)</f>
      </c>
      <c r="AV29" s="3" t="e">
        <f>IF(AV28=1,AU29+1,0)</f>
      </c>
      <c r="AW29" s="3" t="e">
        <f>IF(AW28=1,AV29+1,0)</f>
      </c>
      <c r="AX29" s="3" t="e">
        <f>IF(AX28=1,AW29+1,0)</f>
      </c>
      <c r="AY29" s="3" t="e">
        <f>IF(AY28=1,AX29+1,0)</f>
      </c>
      <c r="AZ29" s="3" t="e">
        <f>IF(AZ28=1,AY29+1,0)</f>
      </c>
      <c r="BA29" s="3" t="e">
        <f>IF(BA28=1,AZ29+1,0)</f>
      </c>
      <c r="BB29" s="3" t="e">
        <f>IF(BB28=1,BA29+1,0)</f>
      </c>
      <c r="BC29" s="3" t="e">
        <f>IF(BC28=1,BB29+1,0)</f>
      </c>
      <c r="BD29" s="3" t="e">
        <f>IF(BD28=1,BC29+1,0)</f>
      </c>
      <c r="BE29" s="3" t="e">
        <f>IF(BE28=1,BD29+1,0)</f>
      </c>
      <c r="BF29" s="3" t="e">
        <f>IF(BF28=1,BE29+1,0)</f>
      </c>
      <c r="BG29" s="3" t="e">
        <f>IF(BG28=1,BF29+1,0)</f>
      </c>
      <c r="BH29" s="3" t="e">
        <f>IF(BH28=1,BG29+1,0)</f>
      </c>
      <c r="BI29" s="3" t="e">
        <f>IF(BI28=1,BH29+1,0)</f>
      </c>
      <c r="BJ29" s="3" t="e">
        <f>IF(BJ28=1,BI29+1,0)</f>
      </c>
      <c r="BK29" s="3" t="e">
        <f>IF(BK28=1,BJ29+1,0)</f>
      </c>
      <c r="BL29" s="3" t="e">
        <f>O29</f>
      </c>
      <c r="BM29" s="3" t="e">
        <f>AA29</f>
      </c>
      <c r="BN29" s="3" t="e">
        <f>AM29</f>
      </c>
      <c r="BO29" s="3" t="e">
        <f>AY29</f>
      </c>
      <c r="BP29" s="3" t="e">
        <f>BK29</f>
      </c>
    </row>
    <row r="30">
      <c r="A30" t="str">
        <v>Commercial salarié n°7 — productivité (ramp)</v>
      </c>
      <c r="B30" t="str">
        <v>%</v>
      </c>
      <c r="C30" s="2">
        <v>0</v>
      </c>
      <c r="D30" s="2" t="e">
        <f>IF(D28=1,MIN(1,D29/'Hypothèses'!$D$19),0)</f>
      </c>
      <c r="E30" s="2" t="e">
        <f>IF(E28=1,MIN(1,E29/'Hypothèses'!$D$19),0)</f>
      </c>
      <c r="F30" s="2" t="e">
        <f>IF(F28=1,MIN(1,F29/'Hypothèses'!$D$19),0)</f>
      </c>
      <c r="G30" s="2" t="e">
        <f>IF(G28=1,MIN(1,G29/'Hypothèses'!$D$19),0)</f>
      </c>
      <c r="H30" s="2" t="e">
        <f>IF(H28=1,MIN(1,H29/'Hypothèses'!$D$19),0)</f>
      </c>
      <c r="I30" s="2" t="e">
        <f>IF(I28=1,MIN(1,I29/'Hypothèses'!$D$19),0)</f>
      </c>
      <c r="J30" s="2" t="e">
        <f>IF(J28=1,MIN(1,J29/'Hypothèses'!$D$19),0)</f>
      </c>
      <c r="K30" s="2" t="e">
        <f>IF(K28=1,MIN(1,K29/'Hypothèses'!$D$19),0)</f>
      </c>
      <c r="L30" s="2" t="e">
        <f>IF(L28=1,MIN(1,L29/'Hypothèses'!$D$19),0)</f>
      </c>
      <c r="M30" s="2" t="e">
        <f>IF(M28=1,MIN(1,M29/'Hypothèses'!$D$19),0)</f>
      </c>
      <c r="N30" s="2" t="e">
        <f>IF(N28=1,MIN(1,N29/'Hypothèses'!$D$19),0)</f>
      </c>
      <c r="O30" s="2" t="e">
        <f>IF(O28=1,MIN(1,O29/'Hypothèses'!$D$19),0)</f>
      </c>
      <c r="P30" s="2" t="e">
        <f>IF(P28=1,MIN(1,P29/'Hypothèses'!$D$19),0)</f>
      </c>
      <c r="Q30" s="2" t="e">
        <f>IF(Q28=1,MIN(1,Q29/'Hypothèses'!$D$19),0)</f>
      </c>
      <c r="R30" s="2" t="e">
        <f>IF(R28=1,MIN(1,R29/'Hypothèses'!$D$19),0)</f>
      </c>
      <c r="S30" s="2" t="e">
        <f>IF(S28=1,MIN(1,S29/'Hypothèses'!$D$19),0)</f>
      </c>
      <c r="T30" s="2" t="e">
        <f>IF(T28=1,MIN(1,T29/'Hypothèses'!$D$19),0)</f>
      </c>
      <c r="U30" s="2" t="e">
        <f>IF(U28=1,MIN(1,U29/'Hypothèses'!$D$19),0)</f>
      </c>
      <c r="V30" s="2" t="e">
        <f>IF(V28=1,MIN(1,V29/'Hypothèses'!$D$19),0)</f>
      </c>
      <c r="W30" s="2" t="e">
        <f>IF(W28=1,MIN(1,W29/'Hypothèses'!$D$19),0)</f>
      </c>
      <c r="X30" s="2" t="e">
        <f>IF(X28=1,MIN(1,X29/'Hypothèses'!$D$19),0)</f>
      </c>
      <c r="Y30" s="2" t="e">
        <f>IF(Y28=1,MIN(1,Y29/'Hypothèses'!$D$19),0)</f>
      </c>
      <c r="Z30" s="2" t="e">
        <f>IF(Z28=1,MIN(1,Z29/'Hypothèses'!$D$19),0)</f>
      </c>
      <c r="AA30" s="2" t="e">
        <f>IF(AA28=1,MIN(1,AA29/'Hypothèses'!$D$19),0)</f>
      </c>
      <c r="AB30" s="2" t="e">
        <f>IF(AB28=1,MIN(1,AB29/'Hypothèses'!$D$19),0)</f>
      </c>
      <c r="AC30" s="2" t="e">
        <f>IF(AC28=1,MIN(1,AC29/'Hypothèses'!$D$19),0)</f>
      </c>
      <c r="AD30" s="2" t="e">
        <f>IF(AD28=1,MIN(1,AD29/'Hypothèses'!$D$19),0)</f>
      </c>
      <c r="AE30" s="2" t="e">
        <f>IF(AE28=1,MIN(1,AE29/'Hypothèses'!$D$19),0)</f>
      </c>
      <c r="AF30" s="2" t="e">
        <f>IF(AF28=1,MIN(1,AF29/'Hypothèses'!$D$19),0)</f>
      </c>
      <c r="AG30" s="2" t="e">
        <f>IF(AG28=1,MIN(1,AG29/'Hypothèses'!$D$19),0)</f>
      </c>
      <c r="AH30" s="2" t="e">
        <f>IF(AH28=1,MIN(1,AH29/'Hypothèses'!$D$19),0)</f>
      </c>
      <c r="AI30" s="2" t="e">
        <f>IF(AI28=1,MIN(1,AI29/'Hypothèses'!$D$19),0)</f>
      </c>
      <c r="AJ30" s="2" t="e">
        <f>IF(AJ28=1,MIN(1,AJ29/'Hypothèses'!$D$19),0)</f>
      </c>
      <c r="AK30" s="2" t="e">
        <f>IF(AK28=1,MIN(1,AK29/'Hypothèses'!$D$19),0)</f>
      </c>
      <c r="AL30" s="2" t="e">
        <f>IF(AL28=1,MIN(1,AL29/'Hypothèses'!$D$19),0)</f>
      </c>
      <c r="AM30" s="2" t="e">
        <f>IF(AM28=1,MIN(1,AM29/'Hypothèses'!$D$19),0)</f>
      </c>
      <c r="AN30" s="2" t="e">
        <f>IF(AN28=1,MIN(1,AN29/'Hypothèses'!$D$19),0)</f>
      </c>
      <c r="AO30" s="2" t="e">
        <f>IF(AO28=1,MIN(1,AO29/'Hypothèses'!$D$19),0)</f>
      </c>
      <c r="AP30" s="2" t="e">
        <f>IF(AP28=1,MIN(1,AP29/'Hypothèses'!$D$19),0)</f>
      </c>
      <c r="AQ30" s="2" t="e">
        <f>IF(AQ28=1,MIN(1,AQ29/'Hypothèses'!$D$19),0)</f>
      </c>
      <c r="AR30" s="2" t="e">
        <f>IF(AR28=1,MIN(1,AR29/'Hypothèses'!$D$19),0)</f>
      </c>
      <c r="AS30" s="2" t="e">
        <f>IF(AS28=1,MIN(1,AS29/'Hypothèses'!$D$19),0)</f>
      </c>
      <c r="AT30" s="2" t="e">
        <f>IF(AT28=1,MIN(1,AT29/'Hypothèses'!$D$19),0)</f>
      </c>
      <c r="AU30" s="2" t="e">
        <f>IF(AU28=1,MIN(1,AU29/'Hypothèses'!$D$19),0)</f>
      </c>
      <c r="AV30" s="2" t="e">
        <f>IF(AV28=1,MIN(1,AV29/'Hypothèses'!$D$19),0)</f>
      </c>
      <c r="AW30" s="2" t="e">
        <f>IF(AW28=1,MIN(1,AW29/'Hypothèses'!$D$19),0)</f>
      </c>
      <c r="AX30" s="2" t="e">
        <f>IF(AX28=1,MIN(1,AX29/'Hypothèses'!$D$19),0)</f>
      </c>
      <c r="AY30" s="2" t="e">
        <f>IF(AY28=1,MIN(1,AY29/'Hypothèses'!$D$19),0)</f>
      </c>
      <c r="AZ30" s="2" t="e">
        <f>IF(AZ28=1,MIN(1,AZ29/'Hypothèses'!$D$19),0)</f>
      </c>
      <c r="BA30" s="2" t="e">
        <f>IF(BA28=1,MIN(1,BA29/'Hypothèses'!$D$19),0)</f>
      </c>
      <c r="BB30" s="2" t="e">
        <f>IF(BB28=1,MIN(1,BB29/'Hypothèses'!$D$19),0)</f>
      </c>
      <c r="BC30" s="2" t="e">
        <f>IF(BC28=1,MIN(1,BC29/'Hypothèses'!$D$19),0)</f>
      </c>
      <c r="BD30" s="2" t="e">
        <f>IF(BD28=1,MIN(1,BD29/'Hypothèses'!$D$19),0)</f>
      </c>
      <c r="BE30" s="2" t="e">
        <f>IF(BE28=1,MIN(1,BE29/'Hypothèses'!$D$19),0)</f>
      </c>
      <c r="BF30" s="2" t="e">
        <f>IF(BF28=1,MIN(1,BF29/'Hypothèses'!$D$19),0)</f>
      </c>
      <c r="BG30" s="2" t="e">
        <f>IF(BG28=1,MIN(1,BG29/'Hypothèses'!$D$19),0)</f>
      </c>
      <c r="BH30" s="2" t="e">
        <f>IF(BH28=1,MIN(1,BH29/'Hypothèses'!$D$19),0)</f>
      </c>
      <c r="BI30" s="2" t="e">
        <f>IF(BI28=1,MIN(1,BI29/'Hypothèses'!$D$19),0)</f>
      </c>
      <c r="BJ30" s="2" t="e">
        <f>IF(BJ28=1,MIN(1,BJ29/'Hypothèses'!$D$19),0)</f>
      </c>
      <c r="BK30" s="2" t="e">
        <f>IF(BK28=1,MIN(1,BK29/'Hypothèses'!$D$19),0)</f>
      </c>
      <c r="BL30" s="2" t="e">
        <f>AVERAGE(D30:O30)</f>
      </c>
      <c r="BM30" s="2" t="e">
        <f>AVERAGE(P30:AA30)</f>
      </c>
      <c r="BN30" s="2" t="e">
        <f>AVERAGE(AB30:AM30)</f>
      </c>
      <c r="BO30" s="2" t="e">
        <f>AVERAGE(AN30:AY30)</f>
      </c>
      <c r="BP30" s="2" t="e">
        <f>AVERAGE(AZ30:BK30)</f>
      </c>
    </row>
    <row r="31">
      <c r="A31" t="str">
        <v>Commercial salarié n°8 en poste (1/0)</v>
      </c>
      <c r="B31" t="str">
        <v>0/1</v>
      </c>
      <c r="C31" s="3">
        <v>0</v>
      </c>
      <c r="D31" s="3" t="e">
        <f>IF(1&gt;='Hypothèses'!$D$34,1,0)</f>
      </c>
      <c r="E31" s="3" t="e">
        <f>IF(2&gt;='Hypothèses'!$D$34,1,0)</f>
      </c>
      <c r="F31" s="3" t="e">
        <f>IF(3&gt;='Hypothèses'!$D$34,1,0)</f>
      </c>
      <c r="G31" s="3" t="e">
        <f>IF(4&gt;='Hypothèses'!$D$34,1,0)</f>
      </c>
      <c r="H31" s="3" t="e">
        <f>IF(5&gt;='Hypothèses'!$D$34,1,0)</f>
      </c>
      <c r="I31" s="3" t="e">
        <f>IF(6&gt;='Hypothèses'!$D$34,1,0)</f>
      </c>
      <c r="J31" s="3" t="e">
        <f>IF(7&gt;='Hypothèses'!$D$34,1,0)</f>
      </c>
      <c r="K31" s="3" t="e">
        <f>IF(8&gt;='Hypothèses'!$D$34,1,0)</f>
      </c>
      <c r="L31" s="3" t="e">
        <f>IF(9&gt;='Hypothèses'!$D$34,1,0)</f>
      </c>
      <c r="M31" s="3" t="e">
        <f>IF(10&gt;='Hypothèses'!$D$34,1,0)</f>
      </c>
      <c r="N31" s="3" t="e">
        <f>IF(11&gt;='Hypothèses'!$D$34,1,0)</f>
      </c>
      <c r="O31" s="3" t="e">
        <f>IF(12&gt;='Hypothèses'!$D$34,1,0)</f>
      </c>
      <c r="P31" s="3" t="e">
        <f>IF(13&gt;='Hypothèses'!$D$34,1,0)</f>
      </c>
      <c r="Q31" s="3" t="e">
        <f>IF(14&gt;='Hypothèses'!$D$34,1,0)</f>
      </c>
      <c r="R31" s="3" t="e">
        <f>IF(15&gt;='Hypothèses'!$D$34,1,0)</f>
      </c>
      <c r="S31" s="3" t="e">
        <f>IF(16&gt;='Hypothèses'!$D$34,1,0)</f>
      </c>
      <c r="T31" s="3" t="e">
        <f>IF(17&gt;='Hypothèses'!$D$34,1,0)</f>
      </c>
      <c r="U31" s="3" t="e">
        <f>IF(18&gt;='Hypothèses'!$D$34,1,0)</f>
      </c>
      <c r="V31" s="3" t="e">
        <f>IF(19&gt;='Hypothèses'!$D$34,1,0)</f>
      </c>
      <c r="W31" s="3" t="e">
        <f>IF(20&gt;='Hypothèses'!$D$34,1,0)</f>
      </c>
      <c r="X31" s="3" t="e">
        <f>IF(21&gt;='Hypothèses'!$D$34,1,0)</f>
      </c>
      <c r="Y31" s="3" t="e">
        <f>IF(22&gt;='Hypothèses'!$D$34,1,0)</f>
      </c>
      <c r="Z31" s="3" t="e">
        <f>IF(23&gt;='Hypothèses'!$D$34,1,0)</f>
      </c>
      <c r="AA31" s="3" t="e">
        <f>IF(24&gt;='Hypothèses'!$D$34,1,0)</f>
      </c>
      <c r="AB31" s="3" t="e">
        <f>IF(25&gt;='Hypothèses'!$D$34,1,0)</f>
      </c>
      <c r="AC31" s="3" t="e">
        <f>IF(26&gt;='Hypothèses'!$D$34,1,0)</f>
      </c>
      <c r="AD31" s="3" t="e">
        <f>IF(27&gt;='Hypothèses'!$D$34,1,0)</f>
      </c>
      <c r="AE31" s="3" t="e">
        <f>IF(28&gt;='Hypothèses'!$D$34,1,0)</f>
      </c>
      <c r="AF31" s="3" t="e">
        <f>IF(29&gt;='Hypothèses'!$D$34,1,0)</f>
      </c>
      <c r="AG31" s="3" t="e">
        <f>IF(30&gt;='Hypothèses'!$D$34,1,0)</f>
      </c>
      <c r="AH31" s="3" t="e">
        <f>IF(31&gt;='Hypothèses'!$D$34,1,0)</f>
      </c>
      <c r="AI31" s="3" t="e">
        <f>IF(32&gt;='Hypothèses'!$D$34,1,0)</f>
      </c>
      <c r="AJ31" s="3" t="e">
        <f>IF(33&gt;='Hypothèses'!$D$34,1,0)</f>
      </c>
      <c r="AK31" s="3" t="e">
        <f>IF(34&gt;='Hypothèses'!$D$34,1,0)</f>
      </c>
      <c r="AL31" s="3" t="e">
        <f>IF(35&gt;='Hypothèses'!$D$34,1,0)</f>
      </c>
      <c r="AM31" s="3" t="e">
        <f>IF(36&gt;='Hypothèses'!$D$34,1,0)</f>
      </c>
      <c r="AN31" s="3" t="e">
        <f>IF(37&gt;='Hypothèses'!$D$34,1,0)</f>
      </c>
      <c r="AO31" s="3" t="e">
        <f>IF(38&gt;='Hypothèses'!$D$34,1,0)</f>
      </c>
      <c r="AP31" s="3" t="e">
        <f>IF(39&gt;='Hypothèses'!$D$34,1,0)</f>
      </c>
      <c r="AQ31" s="3" t="e">
        <f>IF(40&gt;='Hypothèses'!$D$34,1,0)</f>
      </c>
      <c r="AR31" s="3" t="e">
        <f>IF(41&gt;='Hypothèses'!$D$34,1,0)</f>
      </c>
      <c r="AS31" s="3" t="e">
        <f>IF(42&gt;='Hypothèses'!$D$34,1,0)</f>
      </c>
      <c r="AT31" s="3" t="e">
        <f>IF(43&gt;='Hypothèses'!$D$34,1,0)</f>
      </c>
      <c r="AU31" s="3" t="e">
        <f>IF(44&gt;='Hypothèses'!$D$34,1,0)</f>
      </c>
      <c r="AV31" s="3" t="e">
        <f>IF(45&gt;='Hypothèses'!$D$34,1,0)</f>
      </c>
      <c r="AW31" s="3" t="e">
        <f>IF(46&gt;='Hypothèses'!$D$34,1,0)</f>
      </c>
      <c r="AX31" s="3" t="e">
        <f>IF(47&gt;='Hypothèses'!$D$34,1,0)</f>
      </c>
      <c r="AY31" s="3" t="e">
        <f>IF(48&gt;='Hypothèses'!$D$34,1,0)</f>
      </c>
      <c r="AZ31" s="3" t="e">
        <f>IF(49&gt;='Hypothèses'!$D$34,1,0)</f>
      </c>
      <c r="BA31" s="3" t="e">
        <f>IF(50&gt;='Hypothèses'!$D$34,1,0)</f>
      </c>
      <c r="BB31" s="3" t="e">
        <f>IF(51&gt;='Hypothèses'!$D$34,1,0)</f>
      </c>
      <c r="BC31" s="3" t="e">
        <f>IF(52&gt;='Hypothèses'!$D$34,1,0)</f>
      </c>
      <c r="BD31" s="3" t="e">
        <f>IF(53&gt;='Hypothèses'!$D$34,1,0)</f>
      </c>
      <c r="BE31" s="3" t="e">
        <f>IF(54&gt;='Hypothèses'!$D$34,1,0)</f>
      </c>
      <c r="BF31" s="3" t="e">
        <f>IF(55&gt;='Hypothèses'!$D$34,1,0)</f>
      </c>
      <c r="BG31" s="3" t="e">
        <f>IF(56&gt;='Hypothèses'!$D$34,1,0)</f>
      </c>
      <c r="BH31" s="3" t="e">
        <f>IF(57&gt;='Hypothèses'!$D$34,1,0)</f>
      </c>
      <c r="BI31" s="3" t="e">
        <f>IF(58&gt;='Hypothèses'!$D$34,1,0)</f>
      </c>
      <c r="BJ31" s="3" t="e">
        <f>IF(59&gt;='Hypothèses'!$D$34,1,0)</f>
      </c>
      <c r="BK31" s="3" t="e">
        <f>IF(60&gt;='Hypothèses'!$D$34,1,0)</f>
      </c>
      <c r="BL31" s="3" t="e">
        <f>O31</f>
      </c>
      <c r="BM31" s="3" t="e">
        <f>AA31</f>
      </c>
      <c r="BN31" s="3" t="e">
        <f>AM31</f>
      </c>
      <c r="BO31" s="3" t="e">
        <f>AY31</f>
      </c>
      <c r="BP31" s="3" t="e">
        <f>BK31</f>
      </c>
    </row>
    <row r="32">
      <c r="A32" t="str">
        <v>Commercial salarié n°8 — ancienneté</v>
      </c>
      <c r="B32" t="str">
        <v>mois</v>
      </c>
      <c r="C32" s="3">
        <v>0</v>
      </c>
      <c r="D32" s="3" t="e">
        <f>IF(D31=1,C32+1,0)</f>
      </c>
      <c r="E32" s="3" t="e">
        <f>IF(E31=1,D32+1,0)</f>
      </c>
      <c r="F32" s="3" t="e">
        <f>IF(F31=1,E32+1,0)</f>
      </c>
      <c r="G32" s="3" t="e">
        <f>IF(G31=1,F32+1,0)</f>
      </c>
      <c r="H32" s="3" t="e">
        <f>IF(H31=1,G32+1,0)</f>
      </c>
      <c r="I32" s="3" t="e">
        <f>IF(I31=1,H32+1,0)</f>
      </c>
      <c r="J32" s="3" t="e">
        <f>IF(J31=1,I32+1,0)</f>
      </c>
      <c r="K32" s="3" t="e">
        <f>IF(K31=1,J32+1,0)</f>
      </c>
      <c r="L32" s="3" t="e">
        <f>IF(L31=1,K32+1,0)</f>
      </c>
      <c r="M32" s="3" t="e">
        <f>IF(M31=1,L32+1,0)</f>
      </c>
      <c r="N32" s="3" t="e">
        <f>IF(N31=1,M32+1,0)</f>
      </c>
      <c r="O32" s="3" t="e">
        <f>IF(O31=1,N32+1,0)</f>
      </c>
      <c r="P32" s="3" t="e">
        <f>IF(P31=1,O32+1,0)</f>
      </c>
      <c r="Q32" s="3" t="e">
        <f>IF(Q31=1,P32+1,0)</f>
      </c>
      <c r="R32" s="3" t="e">
        <f>IF(R31=1,Q32+1,0)</f>
      </c>
      <c r="S32" s="3" t="e">
        <f>IF(S31=1,R32+1,0)</f>
      </c>
      <c r="T32" s="3" t="e">
        <f>IF(T31=1,S32+1,0)</f>
      </c>
      <c r="U32" s="3" t="e">
        <f>IF(U31=1,T32+1,0)</f>
      </c>
      <c r="V32" s="3" t="e">
        <f>IF(V31=1,U32+1,0)</f>
      </c>
      <c r="W32" s="3" t="e">
        <f>IF(W31=1,V32+1,0)</f>
      </c>
      <c r="X32" s="3" t="e">
        <f>IF(X31=1,W32+1,0)</f>
      </c>
      <c r="Y32" s="3" t="e">
        <f>IF(Y31=1,X32+1,0)</f>
      </c>
      <c r="Z32" s="3" t="e">
        <f>IF(Z31=1,Y32+1,0)</f>
      </c>
      <c r="AA32" s="3" t="e">
        <f>IF(AA31=1,Z32+1,0)</f>
      </c>
      <c r="AB32" s="3" t="e">
        <f>IF(AB31=1,AA32+1,0)</f>
      </c>
      <c r="AC32" s="3" t="e">
        <f>IF(AC31=1,AB32+1,0)</f>
      </c>
      <c r="AD32" s="3" t="e">
        <f>IF(AD31=1,AC32+1,0)</f>
      </c>
      <c r="AE32" s="3" t="e">
        <f>IF(AE31=1,AD32+1,0)</f>
      </c>
      <c r="AF32" s="3" t="e">
        <f>IF(AF31=1,AE32+1,0)</f>
      </c>
      <c r="AG32" s="3" t="e">
        <f>IF(AG31=1,AF32+1,0)</f>
      </c>
      <c r="AH32" s="3" t="e">
        <f>IF(AH31=1,AG32+1,0)</f>
      </c>
      <c r="AI32" s="3" t="e">
        <f>IF(AI31=1,AH32+1,0)</f>
      </c>
      <c r="AJ32" s="3" t="e">
        <f>IF(AJ31=1,AI32+1,0)</f>
      </c>
      <c r="AK32" s="3" t="e">
        <f>IF(AK31=1,AJ32+1,0)</f>
      </c>
      <c r="AL32" s="3" t="e">
        <f>IF(AL31=1,AK32+1,0)</f>
      </c>
      <c r="AM32" s="3" t="e">
        <f>IF(AM31=1,AL32+1,0)</f>
      </c>
      <c r="AN32" s="3" t="e">
        <f>IF(AN31=1,AM32+1,0)</f>
      </c>
      <c r="AO32" s="3" t="e">
        <f>IF(AO31=1,AN32+1,0)</f>
      </c>
      <c r="AP32" s="3" t="e">
        <f>IF(AP31=1,AO32+1,0)</f>
      </c>
      <c r="AQ32" s="3" t="e">
        <f>IF(AQ31=1,AP32+1,0)</f>
      </c>
      <c r="AR32" s="3" t="e">
        <f>IF(AR31=1,AQ32+1,0)</f>
      </c>
      <c r="AS32" s="3" t="e">
        <f>IF(AS31=1,AR32+1,0)</f>
      </c>
      <c r="AT32" s="3" t="e">
        <f>IF(AT31=1,AS32+1,0)</f>
      </c>
      <c r="AU32" s="3" t="e">
        <f>IF(AU31=1,AT32+1,0)</f>
      </c>
      <c r="AV32" s="3" t="e">
        <f>IF(AV31=1,AU32+1,0)</f>
      </c>
      <c r="AW32" s="3" t="e">
        <f>IF(AW31=1,AV32+1,0)</f>
      </c>
      <c r="AX32" s="3" t="e">
        <f>IF(AX31=1,AW32+1,0)</f>
      </c>
      <c r="AY32" s="3" t="e">
        <f>IF(AY31=1,AX32+1,0)</f>
      </c>
      <c r="AZ32" s="3" t="e">
        <f>IF(AZ31=1,AY32+1,0)</f>
      </c>
      <c r="BA32" s="3" t="e">
        <f>IF(BA31=1,AZ32+1,0)</f>
      </c>
      <c r="BB32" s="3" t="e">
        <f>IF(BB31=1,BA32+1,0)</f>
      </c>
      <c r="BC32" s="3" t="e">
        <f>IF(BC31=1,BB32+1,0)</f>
      </c>
      <c r="BD32" s="3" t="e">
        <f>IF(BD31=1,BC32+1,0)</f>
      </c>
      <c r="BE32" s="3" t="e">
        <f>IF(BE31=1,BD32+1,0)</f>
      </c>
      <c r="BF32" s="3" t="e">
        <f>IF(BF31=1,BE32+1,0)</f>
      </c>
      <c r="BG32" s="3" t="e">
        <f>IF(BG31=1,BF32+1,0)</f>
      </c>
      <c r="BH32" s="3" t="e">
        <f>IF(BH31=1,BG32+1,0)</f>
      </c>
      <c r="BI32" s="3" t="e">
        <f>IF(BI31=1,BH32+1,0)</f>
      </c>
      <c r="BJ32" s="3" t="e">
        <f>IF(BJ31=1,BI32+1,0)</f>
      </c>
      <c r="BK32" s="3" t="e">
        <f>IF(BK31=1,BJ32+1,0)</f>
      </c>
      <c r="BL32" s="3" t="e">
        <f>O32</f>
      </c>
      <c r="BM32" s="3" t="e">
        <f>AA32</f>
      </c>
      <c r="BN32" s="3" t="e">
        <f>AM32</f>
      </c>
      <c r="BO32" s="3" t="e">
        <f>AY32</f>
      </c>
      <c r="BP32" s="3" t="e">
        <f>BK32</f>
      </c>
    </row>
    <row r="33">
      <c r="A33" t="str">
        <v>Commercial salarié n°8 — productivité (ramp)</v>
      </c>
      <c r="B33" t="str">
        <v>%</v>
      </c>
      <c r="C33" s="2">
        <v>0</v>
      </c>
      <c r="D33" s="2" t="e">
        <f>IF(D31=1,MIN(1,D32/'Hypothèses'!$D$19),0)</f>
      </c>
      <c r="E33" s="2" t="e">
        <f>IF(E31=1,MIN(1,E32/'Hypothèses'!$D$19),0)</f>
      </c>
      <c r="F33" s="2" t="e">
        <f>IF(F31=1,MIN(1,F32/'Hypothèses'!$D$19),0)</f>
      </c>
      <c r="G33" s="2" t="e">
        <f>IF(G31=1,MIN(1,G32/'Hypothèses'!$D$19),0)</f>
      </c>
      <c r="H33" s="2" t="e">
        <f>IF(H31=1,MIN(1,H32/'Hypothèses'!$D$19),0)</f>
      </c>
      <c r="I33" s="2" t="e">
        <f>IF(I31=1,MIN(1,I32/'Hypothèses'!$D$19),0)</f>
      </c>
      <c r="J33" s="2" t="e">
        <f>IF(J31=1,MIN(1,J32/'Hypothèses'!$D$19),0)</f>
      </c>
      <c r="K33" s="2" t="e">
        <f>IF(K31=1,MIN(1,K32/'Hypothèses'!$D$19),0)</f>
      </c>
      <c r="L33" s="2" t="e">
        <f>IF(L31=1,MIN(1,L32/'Hypothèses'!$D$19),0)</f>
      </c>
      <c r="M33" s="2" t="e">
        <f>IF(M31=1,MIN(1,M32/'Hypothèses'!$D$19),0)</f>
      </c>
      <c r="N33" s="2" t="e">
        <f>IF(N31=1,MIN(1,N32/'Hypothèses'!$D$19),0)</f>
      </c>
      <c r="O33" s="2" t="e">
        <f>IF(O31=1,MIN(1,O32/'Hypothèses'!$D$19),0)</f>
      </c>
      <c r="P33" s="2" t="e">
        <f>IF(P31=1,MIN(1,P32/'Hypothèses'!$D$19),0)</f>
      </c>
      <c r="Q33" s="2" t="e">
        <f>IF(Q31=1,MIN(1,Q32/'Hypothèses'!$D$19),0)</f>
      </c>
      <c r="R33" s="2" t="e">
        <f>IF(R31=1,MIN(1,R32/'Hypothèses'!$D$19),0)</f>
      </c>
      <c r="S33" s="2" t="e">
        <f>IF(S31=1,MIN(1,S32/'Hypothèses'!$D$19),0)</f>
      </c>
      <c r="T33" s="2" t="e">
        <f>IF(T31=1,MIN(1,T32/'Hypothèses'!$D$19),0)</f>
      </c>
      <c r="U33" s="2" t="e">
        <f>IF(U31=1,MIN(1,U32/'Hypothèses'!$D$19),0)</f>
      </c>
      <c r="V33" s="2" t="e">
        <f>IF(V31=1,MIN(1,V32/'Hypothèses'!$D$19),0)</f>
      </c>
      <c r="W33" s="2" t="e">
        <f>IF(W31=1,MIN(1,W32/'Hypothèses'!$D$19),0)</f>
      </c>
      <c r="X33" s="2" t="e">
        <f>IF(X31=1,MIN(1,X32/'Hypothèses'!$D$19),0)</f>
      </c>
      <c r="Y33" s="2" t="e">
        <f>IF(Y31=1,MIN(1,Y32/'Hypothèses'!$D$19),0)</f>
      </c>
      <c r="Z33" s="2" t="e">
        <f>IF(Z31=1,MIN(1,Z32/'Hypothèses'!$D$19),0)</f>
      </c>
      <c r="AA33" s="2" t="e">
        <f>IF(AA31=1,MIN(1,AA32/'Hypothèses'!$D$19),0)</f>
      </c>
      <c r="AB33" s="2" t="e">
        <f>IF(AB31=1,MIN(1,AB32/'Hypothèses'!$D$19),0)</f>
      </c>
      <c r="AC33" s="2" t="e">
        <f>IF(AC31=1,MIN(1,AC32/'Hypothèses'!$D$19),0)</f>
      </c>
      <c r="AD33" s="2" t="e">
        <f>IF(AD31=1,MIN(1,AD32/'Hypothèses'!$D$19),0)</f>
      </c>
      <c r="AE33" s="2" t="e">
        <f>IF(AE31=1,MIN(1,AE32/'Hypothèses'!$D$19),0)</f>
      </c>
      <c r="AF33" s="2" t="e">
        <f>IF(AF31=1,MIN(1,AF32/'Hypothèses'!$D$19),0)</f>
      </c>
      <c r="AG33" s="2" t="e">
        <f>IF(AG31=1,MIN(1,AG32/'Hypothèses'!$D$19),0)</f>
      </c>
      <c r="AH33" s="2" t="e">
        <f>IF(AH31=1,MIN(1,AH32/'Hypothèses'!$D$19),0)</f>
      </c>
      <c r="AI33" s="2" t="e">
        <f>IF(AI31=1,MIN(1,AI32/'Hypothèses'!$D$19),0)</f>
      </c>
      <c r="AJ33" s="2" t="e">
        <f>IF(AJ31=1,MIN(1,AJ32/'Hypothèses'!$D$19),0)</f>
      </c>
      <c r="AK33" s="2" t="e">
        <f>IF(AK31=1,MIN(1,AK32/'Hypothèses'!$D$19),0)</f>
      </c>
      <c r="AL33" s="2" t="e">
        <f>IF(AL31=1,MIN(1,AL32/'Hypothèses'!$D$19),0)</f>
      </c>
      <c r="AM33" s="2" t="e">
        <f>IF(AM31=1,MIN(1,AM32/'Hypothèses'!$D$19),0)</f>
      </c>
      <c r="AN33" s="2" t="e">
        <f>IF(AN31=1,MIN(1,AN32/'Hypothèses'!$D$19),0)</f>
      </c>
      <c r="AO33" s="2" t="e">
        <f>IF(AO31=1,MIN(1,AO32/'Hypothèses'!$D$19),0)</f>
      </c>
      <c r="AP33" s="2" t="e">
        <f>IF(AP31=1,MIN(1,AP32/'Hypothèses'!$D$19),0)</f>
      </c>
      <c r="AQ33" s="2" t="e">
        <f>IF(AQ31=1,MIN(1,AQ32/'Hypothèses'!$D$19),0)</f>
      </c>
      <c r="AR33" s="2" t="e">
        <f>IF(AR31=1,MIN(1,AR32/'Hypothèses'!$D$19),0)</f>
      </c>
      <c r="AS33" s="2" t="e">
        <f>IF(AS31=1,MIN(1,AS32/'Hypothèses'!$D$19),0)</f>
      </c>
      <c r="AT33" s="2" t="e">
        <f>IF(AT31=1,MIN(1,AT32/'Hypothèses'!$D$19),0)</f>
      </c>
      <c r="AU33" s="2" t="e">
        <f>IF(AU31=1,MIN(1,AU32/'Hypothèses'!$D$19),0)</f>
      </c>
      <c r="AV33" s="2" t="e">
        <f>IF(AV31=1,MIN(1,AV32/'Hypothèses'!$D$19),0)</f>
      </c>
      <c r="AW33" s="2" t="e">
        <f>IF(AW31=1,MIN(1,AW32/'Hypothèses'!$D$19),0)</f>
      </c>
      <c r="AX33" s="2" t="e">
        <f>IF(AX31=1,MIN(1,AX32/'Hypothèses'!$D$19),0)</f>
      </c>
      <c r="AY33" s="2" t="e">
        <f>IF(AY31=1,MIN(1,AY32/'Hypothèses'!$D$19),0)</f>
      </c>
      <c r="AZ33" s="2" t="e">
        <f>IF(AZ31=1,MIN(1,AZ32/'Hypothèses'!$D$19),0)</f>
      </c>
      <c r="BA33" s="2" t="e">
        <f>IF(BA31=1,MIN(1,BA32/'Hypothèses'!$D$19),0)</f>
      </c>
      <c r="BB33" s="2" t="e">
        <f>IF(BB31=1,MIN(1,BB32/'Hypothèses'!$D$19),0)</f>
      </c>
      <c r="BC33" s="2" t="e">
        <f>IF(BC31=1,MIN(1,BC32/'Hypothèses'!$D$19),0)</f>
      </c>
      <c r="BD33" s="2" t="e">
        <f>IF(BD31=1,MIN(1,BD32/'Hypothèses'!$D$19),0)</f>
      </c>
      <c r="BE33" s="2" t="e">
        <f>IF(BE31=1,MIN(1,BE32/'Hypothèses'!$D$19),0)</f>
      </c>
      <c r="BF33" s="2" t="e">
        <f>IF(BF31=1,MIN(1,BF32/'Hypothèses'!$D$19),0)</f>
      </c>
      <c r="BG33" s="2" t="e">
        <f>IF(BG31=1,MIN(1,BG32/'Hypothèses'!$D$19),0)</f>
      </c>
      <c r="BH33" s="2" t="e">
        <f>IF(BH31=1,MIN(1,BH32/'Hypothèses'!$D$19),0)</f>
      </c>
      <c r="BI33" s="2" t="e">
        <f>IF(BI31=1,MIN(1,BI32/'Hypothèses'!$D$19),0)</f>
      </c>
      <c r="BJ33" s="2" t="e">
        <f>IF(BJ31=1,MIN(1,BJ32/'Hypothèses'!$D$19),0)</f>
      </c>
      <c r="BK33" s="2" t="e">
        <f>IF(BK31=1,MIN(1,BK32/'Hypothèses'!$D$19),0)</f>
      </c>
      <c r="BL33" s="2" t="e">
        <f>AVERAGE(D33:O33)</f>
      </c>
      <c r="BM33" s="2" t="e">
        <f>AVERAGE(P33:AA33)</f>
      </c>
      <c r="BN33" s="2" t="e">
        <f>AVERAGE(AB33:AM33)</f>
      </c>
      <c r="BO33" s="2" t="e">
        <f>AVERAGE(AN33:AY33)</f>
      </c>
      <c r="BP33" s="2" t="e">
        <f>AVERAGE(AZ33:BK33)</f>
      </c>
    </row>
    <row r="34">
      <c r="A34" t="str">
        <v>Commercial salarié n°9 en poste (1/0)</v>
      </c>
      <c r="B34" t="str">
        <v>0/1</v>
      </c>
      <c r="C34" s="3">
        <v>0</v>
      </c>
      <c r="D34" s="3" t="e">
        <f>IF(1&gt;='Hypothèses'!$D$35,1,0)</f>
      </c>
      <c r="E34" s="3" t="e">
        <f>IF(2&gt;='Hypothèses'!$D$35,1,0)</f>
      </c>
      <c r="F34" s="3" t="e">
        <f>IF(3&gt;='Hypothèses'!$D$35,1,0)</f>
      </c>
      <c r="G34" s="3" t="e">
        <f>IF(4&gt;='Hypothèses'!$D$35,1,0)</f>
      </c>
      <c r="H34" s="3" t="e">
        <f>IF(5&gt;='Hypothèses'!$D$35,1,0)</f>
      </c>
      <c r="I34" s="3" t="e">
        <f>IF(6&gt;='Hypothèses'!$D$35,1,0)</f>
      </c>
      <c r="J34" s="3" t="e">
        <f>IF(7&gt;='Hypothèses'!$D$35,1,0)</f>
      </c>
      <c r="K34" s="3" t="e">
        <f>IF(8&gt;='Hypothèses'!$D$35,1,0)</f>
      </c>
      <c r="L34" s="3" t="e">
        <f>IF(9&gt;='Hypothèses'!$D$35,1,0)</f>
      </c>
      <c r="M34" s="3" t="e">
        <f>IF(10&gt;='Hypothèses'!$D$35,1,0)</f>
      </c>
      <c r="N34" s="3" t="e">
        <f>IF(11&gt;='Hypothèses'!$D$35,1,0)</f>
      </c>
      <c r="O34" s="3" t="e">
        <f>IF(12&gt;='Hypothèses'!$D$35,1,0)</f>
      </c>
      <c r="P34" s="3" t="e">
        <f>IF(13&gt;='Hypothèses'!$D$35,1,0)</f>
      </c>
      <c r="Q34" s="3" t="e">
        <f>IF(14&gt;='Hypothèses'!$D$35,1,0)</f>
      </c>
      <c r="R34" s="3" t="e">
        <f>IF(15&gt;='Hypothèses'!$D$35,1,0)</f>
      </c>
      <c r="S34" s="3" t="e">
        <f>IF(16&gt;='Hypothèses'!$D$35,1,0)</f>
      </c>
      <c r="T34" s="3" t="e">
        <f>IF(17&gt;='Hypothèses'!$D$35,1,0)</f>
      </c>
      <c r="U34" s="3" t="e">
        <f>IF(18&gt;='Hypothèses'!$D$35,1,0)</f>
      </c>
      <c r="V34" s="3" t="e">
        <f>IF(19&gt;='Hypothèses'!$D$35,1,0)</f>
      </c>
      <c r="W34" s="3" t="e">
        <f>IF(20&gt;='Hypothèses'!$D$35,1,0)</f>
      </c>
      <c r="X34" s="3" t="e">
        <f>IF(21&gt;='Hypothèses'!$D$35,1,0)</f>
      </c>
      <c r="Y34" s="3" t="e">
        <f>IF(22&gt;='Hypothèses'!$D$35,1,0)</f>
      </c>
      <c r="Z34" s="3" t="e">
        <f>IF(23&gt;='Hypothèses'!$D$35,1,0)</f>
      </c>
      <c r="AA34" s="3" t="e">
        <f>IF(24&gt;='Hypothèses'!$D$35,1,0)</f>
      </c>
      <c r="AB34" s="3" t="e">
        <f>IF(25&gt;='Hypothèses'!$D$35,1,0)</f>
      </c>
      <c r="AC34" s="3" t="e">
        <f>IF(26&gt;='Hypothèses'!$D$35,1,0)</f>
      </c>
      <c r="AD34" s="3" t="e">
        <f>IF(27&gt;='Hypothèses'!$D$35,1,0)</f>
      </c>
      <c r="AE34" s="3" t="e">
        <f>IF(28&gt;='Hypothèses'!$D$35,1,0)</f>
      </c>
      <c r="AF34" s="3" t="e">
        <f>IF(29&gt;='Hypothèses'!$D$35,1,0)</f>
      </c>
      <c r="AG34" s="3" t="e">
        <f>IF(30&gt;='Hypothèses'!$D$35,1,0)</f>
      </c>
      <c r="AH34" s="3" t="e">
        <f>IF(31&gt;='Hypothèses'!$D$35,1,0)</f>
      </c>
      <c r="AI34" s="3" t="e">
        <f>IF(32&gt;='Hypothèses'!$D$35,1,0)</f>
      </c>
      <c r="AJ34" s="3" t="e">
        <f>IF(33&gt;='Hypothèses'!$D$35,1,0)</f>
      </c>
      <c r="AK34" s="3" t="e">
        <f>IF(34&gt;='Hypothèses'!$D$35,1,0)</f>
      </c>
      <c r="AL34" s="3" t="e">
        <f>IF(35&gt;='Hypothèses'!$D$35,1,0)</f>
      </c>
      <c r="AM34" s="3" t="e">
        <f>IF(36&gt;='Hypothèses'!$D$35,1,0)</f>
      </c>
      <c r="AN34" s="3" t="e">
        <f>IF(37&gt;='Hypothèses'!$D$35,1,0)</f>
      </c>
      <c r="AO34" s="3" t="e">
        <f>IF(38&gt;='Hypothèses'!$D$35,1,0)</f>
      </c>
      <c r="AP34" s="3" t="e">
        <f>IF(39&gt;='Hypothèses'!$D$35,1,0)</f>
      </c>
      <c r="AQ34" s="3" t="e">
        <f>IF(40&gt;='Hypothèses'!$D$35,1,0)</f>
      </c>
      <c r="AR34" s="3" t="e">
        <f>IF(41&gt;='Hypothèses'!$D$35,1,0)</f>
      </c>
      <c r="AS34" s="3" t="e">
        <f>IF(42&gt;='Hypothèses'!$D$35,1,0)</f>
      </c>
      <c r="AT34" s="3" t="e">
        <f>IF(43&gt;='Hypothèses'!$D$35,1,0)</f>
      </c>
      <c r="AU34" s="3" t="e">
        <f>IF(44&gt;='Hypothèses'!$D$35,1,0)</f>
      </c>
      <c r="AV34" s="3" t="e">
        <f>IF(45&gt;='Hypothèses'!$D$35,1,0)</f>
      </c>
      <c r="AW34" s="3" t="e">
        <f>IF(46&gt;='Hypothèses'!$D$35,1,0)</f>
      </c>
      <c r="AX34" s="3" t="e">
        <f>IF(47&gt;='Hypothèses'!$D$35,1,0)</f>
      </c>
      <c r="AY34" s="3" t="e">
        <f>IF(48&gt;='Hypothèses'!$D$35,1,0)</f>
      </c>
      <c r="AZ34" s="3" t="e">
        <f>IF(49&gt;='Hypothèses'!$D$35,1,0)</f>
      </c>
      <c r="BA34" s="3" t="e">
        <f>IF(50&gt;='Hypothèses'!$D$35,1,0)</f>
      </c>
      <c r="BB34" s="3" t="e">
        <f>IF(51&gt;='Hypothèses'!$D$35,1,0)</f>
      </c>
      <c r="BC34" s="3" t="e">
        <f>IF(52&gt;='Hypothèses'!$D$35,1,0)</f>
      </c>
      <c r="BD34" s="3" t="e">
        <f>IF(53&gt;='Hypothèses'!$D$35,1,0)</f>
      </c>
      <c r="BE34" s="3" t="e">
        <f>IF(54&gt;='Hypothèses'!$D$35,1,0)</f>
      </c>
      <c r="BF34" s="3" t="e">
        <f>IF(55&gt;='Hypothèses'!$D$35,1,0)</f>
      </c>
      <c r="BG34" s="3" t="e">
        <f>IF(56&gt;='Hypothèses'!$D$35,1,0)</f>
      </c>
      <c r="BH34" s="3" t="e">
        <f>IF(57&gt;='Hypothèses'!$D$35,1,0)</f>
      </c>
      <c r="BI34" s="3" t="e">
        <f>IF(58&gt;='Hypothèses'!$D$35,1,0)</f>
      </c>
      <c r="BJ34" s="3" t="e">
        <f>IF(59&gt;='Hypothèses'!$D$35,1,0)</f>
      </c>
      <c r="BK34" s="3" t="e">
        <f>IF(60&gt;='Hypothèses'!$D$35,1,0)</f>
      </c>
      <c r="BL34" s="3" t="e">
        <f>O34</f>
      </c>
      <c r="BM34" s="3" t="e">
        <f>AA34</f>
      </c>
      <c r="BN34" s="3" t="e">
        <f>AM34</f>
      </c>
      <c r="BO34" s="3" t="e">
        <f>AY34</f>
      </c>
      <c r="BP34" s="3" t="e">
        <f>BK34</f>
      </c>
    </row>
    <row r="35">
      <c r="A35" t="str">
        <v>Commercial salarié n°9 — ancienneté</v>
      </c>
      <c r="B35" t="str">
        <v>mois</v>
      </c>
      <c r="C35" s="3">
        <v>0</v>
      </c>
      <c r="D35" s="3" t="e">
        <f>IF(D34=1,C35+1,0)</f>
      </c>
      <c r="E35" s="3" t="e">
        <f>IF(E34=1,D35+1,0)</f>
      </c>
      <c r="F35" s="3" t="e">
        <f>IF(F34=1,E35+1,0)</f>
      </c>
      <c r="G35" s="3" t="e">
        <f>IF(G34=1,F35+1,0)</f>
      </c>
      <c r="H35" s="3" t="e">
        <f>IF(H34=1,G35+1,0)</f>
      </c>
      <c r="I35" s="3" t="e">
        <f>IF(I34=1,H35+1,0)</f>
      </c>
      <c r="J35" s="3" t="e">
        <f>IF(J34=1,I35+1,0)</f>
      </c>
      <c r="K35" s="3" t="e">
        <f>IF(K34=1,J35+1,0)</f>
      </c>
      <c r="L35" s="3" t="e">
        <f>IF(L34=1,K35+1,0)</f>
      </c>
      <c r="M35" s="3" t="e">
        <f>IF(M34=1,L35+1,0)</f>
      </c>
      <c r="N35" s="3" t="e">
        <f>IF(N34=1,M35+1,0)</f>
      </c>
      <c r="O35" s="3" t="e">
        <f>IF(O34=1,N35+1,0)</f>
      </c>
      <c r="P35" s="3" t="e">
        <f>IF(P34=1,O35+1,0)</f>
      </c>
      <c r="Q35" s="3" t="e">
        <f>IF(Q34=1,P35+1,0)</f>
      </c>
      <c r="R35" s="3" t="e">
        <f>IF(R34=1,Q35+1,0)</f>
      </c>
      <c r="S35" s="3" t="e">
        <f>IF(S34=1,R35+1,0)</f>
      </c>
      <c r="T35" s="3" t="e">
        <f>IF(T34=1,S35+1,0)</f>
      </c>
      <c r="U35" s="3" t="e">
        <f>IF(U34=1,T35+1,0)</f>
      </c>
      <c r="V35" s="3" t="e">
        <f>IF(V34=1,U35+1,0)</f>
      </c>
      <c r="W35" s="3" t="e">
        <f>IF(W34=1,V35+1,0)</f>
      </c>
      <c r="X35" s="3" t="e">
        <f>IF(X34=1,W35+1,0)</f>
      </c>
      <c r="Y35" s="3" t="e">
        <f>IF(Y34=1,X35+1,0)</f>
      </c>
      <c r="Z35" s="3" t="e">
        <f>IF(Z34=1,Y35+1,0)</f>
      </c>
      <c r="AA35" s="3" t="e">
        <f>IF(AA34=1,Z35+1,0)</f>
      </c>
      <c r="AB35" s="3" t="e">
        <f>IF(AB34=1,AA35+1,0)</f>
      </c>
      <c r="AC35" s="3" t="e">
        <f>IF(AC34=1,AB35+1,0)</f>
      </c>
      <c r="AD35" s="3" t="e">
        <f>IF(AD34=1,AC35+1,0)</f>
      </c>
      <c r="AE35" s="3" t="e">
        <f>IF(AE34=1,AD35+1,0)</f>
      </c>
      <c r="AF35" s="3" t="e">
        <f>IF(AF34=1,AE35+1,0)</f>
      </c>
      <c r="AG35" s="3" t="e">
        <f>IF(AG34=1,AF35+1,0)</f>
      </c>
      <c r="AH35" s="3" t="e">
        <f>IF(AH34=1,AG35+1,0)</f>
      </c>
      <c r="AI35" s="3" t="e">
        <f>IF(AI34=1,AH35+1,0)</f>
      </c>
      <c r="AJ35" s="3" t="e">
        <f>IF(AJ34=1,AI35+1,0)</f>
      </c>
      <c r="AK35" s="3" t="e">
        <f>IF(AK34=1,AJ35+1,0)</f>
      </c>
      <c r="AL35" s="3" t="e">
        <f>IF(AL34=1,AK35+1,0)</f>
      </c>
      <c r="AM35" s="3" t="e">
        <f>IF(AM34=1,AL35+1,0)</f>
      </c>
      <c r="AN35" s="3" t="e">
        <f>IF(AN34=1,AM35+1,0)</f>
      </c>
      <c r="AO35" s="3" t="e">
        <f>IF(AO34=1,AN35+1,0)</f>
      </c>
      <c r="AP35" s="3" t="e">
        <f>IF(AP34=1,AO35+1,0)</f>
      </c>
      <c r="AQ35" s="3" t="e">
        <f>IF(AQ34=1,AP35+1,0)</f>
      </c>
      <c r="AR35" s="3" t="e">
        <f>IF(AR34=1,AQ35+1,0)</f>
      </c>
      <c r="AS35" s="3" t="e">
        <f>IF(AS34=1,AR35+1,0)</f>
      </c>
      <c r="AT35" s="3" t="e">
        <f>IF(AT34=1,AS35+1,0)</f>
      </c>
      <c r="AU35" s="3" t="e">
        <f>IF(AU34=1,AT35+1,0)</f>
      </c>
      <c r="AV35" s="3" t="e">
        <f>IF(AV34=1,AU35+1,0)</f>
      </c>
      <c r="AW35" s="3" t="e">
        <f>IF(AW34=1,AV35+1,0)</f>
      </c>
      <c r="AX35" s="3" t="e">
        <f>IF(AX34=1,AW35+1,0)</f>
      </c>
      <c r="AY35" s="3" t="e">
        <f>IF(AY34=1,AX35+1,0)</f>
      </c>
      <c r="AZ35" s="3" t="e">
        <f>IF(AZ34=1,AY35+1,0)</f>
      </c>
      <c r="BA35" s="3" t="e">
        <f>IF(BA34=1,AZ35+1,0)</f>
      </c>
      <c r="BB35" s="3" t="e">
        <f>IF(BB34=1,BA35+1,0)</f>
      </c>
      <c r="BC35" s="3" t="e">
        <f>IF(BC34=1,BB35+1,0)</f>
      </c>
      <c r="BD35" s="3" t="e">
        <f>IF(BD34=1,BC35+1,0)</f>
      </c>
      <c r="BE35" s="3" t="e">
        <f>IF(BE34=1,BD35+1,0)</f>
      </c>
      <c r="BF35" s="3" t="e">
        <f>IF(BF34=1,BE35+1,0)</f>
      </c>
      <c r="BG35" s="3" t="e">
        <f>IF(BG34=1,BF35+1,0)</f>
      </c>
      <c r="BH35" s="3" t="e">
        <f>IF(BH34=1,BG35+1,0)</f>
      </c>
      <c r="BI35" s="3" t="e">
        <f>IF(BI34=1,BH35+1,0)</f>
      </c>
      <c r="BJ35" s="3" t="e">
        <f>IF(BJ34=1,BI35+1,0)</f>
      </c>
      <c r="BK35" s="3" t="e">
        <f>IF(BK34=1,BJ35+1,0)</f>
      </c>
      <c r="BL35" s="3" t="e">
        <f>O35</f>
      </c>
      <c r="BM35" s="3" t="e">
        <f>AA35</f>
      </c>
      <c r="BN35" s="3" t="e">
        <f>AM35</f>
      </c>
      <c r="BO35" s="3" t="e">
        <f>AY35</f>
      </c>
      <c r="BP35" s="3" t="e">
        <f>BK35</f>
      </c>
    </row>
    <row r="36">
      <c r="A36" t="str">
        <v>Commercial salarié n°9 — productivité (ramp)</v>
      </c>
      <c r="B36" t="str">
        <v>%</v>
      </c>
      <c r="C36" s="2">
        <v>0</v>
      </c>
      <c r="D36" s="2" t="e">
        <f>IF(D34=1,MIN(1,D35/'Hypothèses'!$D$19),0)</f>
      </c>
      <c r="E36" s="2" t="e">
        <f>IF(E34=1,MIN(1,E35/'Hypothèses'!$D$19),0)</f>
      </c>
      <c r="F36" s="2" t="e">
        <f>IF(F34=1,MIN(1,F35/'Hypothèses'!$D$19),0)</f>
      </c>
      <c r="G36" s="2" t="e">
        <f>IF(G34=1,MIN(1,G35/'Hypothèses'!$D$19),0)</f>
      </c>
      <c r="H36" s="2" t="e">
        <f>IF(H34=1,MIN(1,H35/'Hypothèses'!$D$19),0)</f>
      </c>
      <c r="I36" s="2" t="e">
        <f>IF(I34=1,MIN(1,I35/'Hypothèses'!$D$19),0)</f>
      </c>
      <c r="J36" s="2" t="e">
        <f>IF(J34=1,MIN(1,J35/'Hypothèses'!$D$19),0)</f>
      </c>
      <c r="K36" s="2" t="e">
        <f>IF(K34=1,MIN(1,K35/'Hypothèses'!$D$19),0)</f>
      </c>
      <c r="L36" s="2" t="e">
        <f>IF(L34=1,MIN(1,L35/'Hypothèses'!$D$19),0)</f>
      </c>
      <c r="M36" s="2" t="e">
        <f>IF(M34=1,MIN(1,M35/'Hypothèses'!$D$19),0)</f>
      </c>
      <c r="N36" s="2" t="e">
        <f>IF(N34=1,MIN(1,N35/'Hypothèses'!$D$19),0)</f>
      </c>
      <c r="O36" s="2" t="e">
        <f>IF(O34=1,MIN(1,O35/'Hypothèses'!$D$19),0)</f>
      </c>
      <c r="P36" s="2" t="e">
        <f>IF(P34=1,MIN(1,P35/'Hypothèses'!$D$19),0)</f>
      </c>
      <c r="Q36" s="2" t="e">
        <f>IF(Q34=1,MIN(1,Q35/'Hypothèses'!$D$19),0)</f>
      </c>
      <c r="R36" s="2" t="e">
        <f>IF(R34=1,MIN(1,R35/'Hypothèses'!$D$19),0)</f>
      </c>
      <c r="S36" s="2" t="e">
        <f>IF(S34=1,MIN(1,S35/'Hypothèses'!$D$19),0)</f>
      </c>
      <c r="T36" s="2" t="e">
        <f>IF(T34=1,MIN(1,T35/'Hypothèses'!$D$19),0)</f>
      </c>
      <c r="U36" s="2" t="e">
        <f>IF(U34=1,MIN(1,U35/'Hypothèses'!$D$19),0)</f>
      </c>
      <c r="V36" s="2" t="e">
        <f>IF(V34=1,MIN(1,V35/'Hypothèses'!$D$19),0)</f>
      </c>
      <c r="W36" s="2" t="e">
        <f>IF(W34=1,MIN(1,W35/'Hypothèses'!$D$19),0)</f>
      </c>
      <c r="X36" s="2" t="e">
        <f>IF(X34=1,MIN(1,X35/'Hypothèses'!$D$19),0)</f>
      </c>
      <c r="Y36" s="2" t="e">
        <f>IF(Y34=1,MIN(1,Y35/'Hypothèses'!$D$19),0)</f>
      </c>
      <c r="Z36" s="2" t="e">
        <f>IF(Z34=1,MIN(1,Z35/'Hypothèses'!$D$19),0)</f>
      </c>
      <c r="AA36" s="2" t="e">
        <f>IF(AA34=1,MIN(1,AA35/'Hypothèses'!$D$19),0)</f>
      </c>
      <c r="AB36" s="2" t="e">
        <f>IF(AB34=1,MIN(1,AB35/'Hypothèses'!$D$19),0)</f>
      </c>
      <c r="AC36" s="2" t="e">
        <f>IF(AC34=1,MIN(1,AC35/'Hypothèses'!$D$19),0)</f>
      </c>
      <c r="AD36" s="2" t="e">
        <f>IF(AD34=1,MIN(1,AD35/'Hypothèses'!$D$19),0)</f>
      </c>
      <c r="AE36" s="2" t="e">
        <f>IF(AE34=1,MIN(1,AE35/'Hypothèses'!$D$19),0)</f>
      </c>
      <c r="AF36" s="2" t="e">
        <f>IF(AF34=1,MIN(1,AF35/'Hypothèses'!$D$19),0)</f>
      </c>
      <c r="AG36" s="2" t="e">
        <f>IF(AG34=1,MIN(1,AG35/'Hypothèses'!$D$19),0)</f>
      </c>
      <c r="AH36" s="2" t="e">
        <f>IF(AH34=1,MIN(1,AH35/'Hypothèses'!$D$19),0)</f>
      </c>
      <c r="AI36" s="2" t="e">
        <f>IF(AI34=1,MIN(1,AI35/'Hypothèses'!$D$19),0)</f>
      </c>
      <c r="AJ36" s="2" t="e">
        <f>IF(AJ34=1,MIN(1,AJ35/'Hypothèses'!$D$19),0)</f>
      </c>
      <c r="AK36" s="2" t="e">
        <f>IF(AK34=1,MIN(1,AK35/'Hypothèses'!$D$19),0)</f>
      </c>
      <c r="AL36" s="2" t="e">
        <f>IF(AL34=1,MIN(1,AL35/'Hypothèses'!$D$19),0)</f>
      </c>
      <c r="AM36" s="2" t="e">
        <f>IF(AM34=1,MIN(1,AM35/'Hypothèses'!$D$19),0)</f>
      </c>
      <c r="AN36" s="2" t="e">
        <f>IF(AN34=1,MIN(1,AN35/'Hypothèses'!$D$19),0)</f>
      </c>
      <c r="AO36" s="2" t="e">
        <f>IF(AO34=1,MIN(1,AO35/'Hypothèses'!$D$19),0)</f>
      </c>
      <c r="AP36" s="2" t="e">
        <f>IF(AP34=1,MIN(1,AP35/'Hypothèses'!$D$19),0)</f>
      </c>
      <c r="AQ36" s="2" t="e">
        <f>IF(AQ34=1,MIN(1,AQ35/'Hypothèses'!$D$19),0)</f>
      </c>
      <c r="AR36" s="2" t="e">
        <f>IF(AR34=1,MIN(1,AR35/'Hypothèses'!$D$19),0)</f>
      </c>
      <c r="AS36" s="2" t="e">
        <f>IF(AS34=1,MIN(1,AS35/'Hypothèses'!$D$19),0)</f>
      </c>
      <c r="AT36" s="2" t="e">
        <f>IF(AT34=1,MIN(1,AT35/'Hypothèses'!$D$19),0)</f>
      </c>
      <c r="AU36" s="2" t="e">
        <f>IF(AU34=1,MIN(1,AU35/'Hypothèses'!$D$19),0)</f>
      </c>
      <c r="AV36" s="2" t="e">
        <f>IF(AV34=1,MIN(1,AV35/'Hypothèses'!$D$19),0)</f>
      </c>
      <c r="AW36" s="2" t="e">
        <f>IF(AW34=1,MIN(1,AW35/'Hypothèses'!$D$19),0)</f>
      </c>
      <c r="AX36" s="2" t="e">
        <f>IF(AX34=1,MIN(1,AX35/'Hypothèses'!$D$19),0)</f>
      </c>
      <c r="AY36" s="2" t="e">
        <f>IF(AY34=1,MIN(1,AY35/'Hypothèses'!$D$19),0)</f>
      </c>
      <c r="AZ36" s="2" t="e">
        <f>IF(AZ34=1,MIN(1,AZ35/'Hypothèses'!$D$19),0)</f>
      </c>
      <c r="BA36" s="2" t="e">
        <f>IF(BA34=1,MIN(1,BA35/'Hypothèses'!$D$19),0)</f>
      </c>
      <c r="BB36" s="2" t="e">
        <f>IF(BB34=1,MIN(1,BB35/'Hypothèses'!$D$19),0)</f>
      </c>
      <c r="BC36" s="2" t="e">
        <f>IF(BC34=1,MIN(1,BC35/'Hypothèses'!$D$19),0)</f>
      </c>
      <c r="BD36" s="2" t="e">
        <f>IF(BD34=1,MIN(1,BD35/'Hypothèses'!$D$19),0)</f>
      </c>
      <c r="BE36" s="2" t="e">
        <f>IF(BE34=1,MIN(1,BE35/'Hypothèses'!$D$19),0)</f>
      </c>
      <c r="BF36" s="2" t="e">
        <f>IF(BF34=1,MIN(1,BF35/'Hypothèses'!$D$19),0)</f>
      </c>
      <c r="BG36" s="2" t="e">
        <f>IF(BG34=1,MIN(1,BG35/'Hypothèses'!$D$19),0)</f>
      </c>
      <c r="BH36" s="2" t="e">
        <f>IF(BH34=1,MIN(1,BH35/'Hypothèses'!$D$19),0)</f>
      </c>
      <c r="BI36" s="2" t="e">
        <f>IF(BI34=1,MIN(1,BI35/'Hypothèses'!$D$19),0)</f>
      </c>
      <c r="BJ36" s="2" t="e">
        <f>IF(BJ34=1,MIN(1,BJ35/'Hypothèses'!$D$19),0)</f>
      </c>
      <c r="BK36" s="2" t="e">
        <f>IF(BK34=1,MIN(1,BK35/'Hypothèses'!$D$19),0)</f>
      </c>
      <c r="BL36" s="2" t="e">
        <f>AVERAGE(D36:O36)</f>
      </c>
      <c r="BM36" s="2" t="e">
        <f>AVERAGE(P36:AA36)</f>
      </c>
      <c r="BN36" s="2" t="e">
        <f>AVERAGE(AB36:AM36)</f>
      </c>
      <c r="BO36" s="2" t="e">
        <f>AVERAGE(AN36:AY36)</f>
      </c>
      <c r="BP36" s="2" t="e">
        <f>AVERAGE(AZ36:BK36)</f>
      </c>
    </row>
    <row r="37">
      <c r="A37" t="str">
        <v>Commercial salarié n°10 en poste (1/0)</v>
      </c>
      <c r="B37" t="str">
        <v>0/1</v>
      </c>
      <c r="C37" s="3">
        <v>0</v>
      </c>
      <c r="D37" s="3" t="e">
        <f>IF(1&gt;='Hypothèses'!$D$36,1,0)</f>
      </c>
      <c r="E37" s="3" t="e">
        <f>IF(2&gt;='Hypothèses'!$D$36,1,0)</f>
      </c>
      <c r="F37" s="3" t="e">
        <f>IF(3&gt;='Hypothèses'!$D$36,1,0)</f>
      </c>
      <c r="G37" s="3" t="e">
        <f>IF(4&gt;='Hypothèses'!$D$36,1,0)</f>
      </c>
      <c r="H37" s="3" t="e">
        <f>IF(5&gt;='Hypothèses'!$D$36,1,0)</f>
      </c>
      <c r="I37" s="3" t="e">
        <f>IF(6&gt;='Hypothèses'!$D$36,1,0)</f>
      </c>
      <c r="J37" s="3" t="e">
        <f>IF(7&gt;='Hypothèses'!$D$36,1,0)</f>
      </c>
      <c r="K37" s="3" t="e">
        <f>IF(8&gt;='Hypothèses'!$D$36,1,0)</f>
      </c>
      <c r="L37" s="3" t="e">
        <f>IF(9&gt;='Hypothèses'!$D$36,1,0)</f>
      </c>
      <c r="M37" s="3" t="e">
        <f>IF(10&gt;='Hypothèses'!$D$36,1,0)</f>
      </c>
      <c r="N37" s="3" t="e">
        <f>IF(11&gt;='Hypothèses'!$D$36,1,0)</f>
      </c>
      <c r="O37" s="3" t="e">
        <f>IF(12&gt;='Hypothèses'!$D$36,1,0)</f>
      </c>
      <c r="P37" s="3" t="e">
        <f>IF(13&gt;='Hypothèses'!$D$36,1,0)</f>
      </c>
      <c r="Q37" s="3" t="e">
        <f>IF(14&gt;='Hypothèses'!$D$36,1,0)</f>
      </c>
      <c r="R37" s="3" t="e">
        <f>IF(15&gt;='Hypothèses'!$D$36,1,0)</f>
      </c>
      <c r="S37" s="3" t="e">
        <f>IF(16&gt;='Hypothèses'!$D$36,1,0)</f>
      </c>
      <c r="T37" s="3" t="e">
        <f>IF(17&gt;='Hypothèses'!$D$36,1,0)</f>
      </c>
      <c r="U37" s="3" t="e">
        <f>IF(18&gt;='Hypothèses'!$D$36,1,0)</f>
      </c>
      <c r="V37" s="3" t="e">
        <f>IF(19&gt;='Hypothèses'!$D$36,1,0)</f>
      </c>
      <c r="W37" s="3" t="e">
        <f>IF(20&gt;='Hypothèses'!$D$36,1,0)</f>
      </c>
      <c r="X37" s="3" t="e">
        <f>IF(21&gt;='Hypothèses'!$D$36,1,0)</f>
      </c>
      <c r="Y37" s="3" t="e">
        <f>IF(22&gt;='Hypothèses'!$D$36,1,0)</f>
      </c>
      <c r="Z37" s="3" t="e">
        <f>IF(23&gt;='Hypothèses'!$D$36,1,0)</f>
      </c>
      <c r="AA37" s="3" t="e">
        <f>IF(24&gt;='Hypothèses'!$D$36,1,0)</f>
      </c>
      <c r="AB37" s="3" t="e">
        <f>IF(25&gt;='Hypothèses'!$D$36,1,0)</f>
      </c>
      <c r="AC37" s="3" t="e">
        <f>IF(26&gt;='Hypothèses'!$D$36,1,0)</f>
      </c>
      <c r="AD37" s="3" t="e">
        <f>IF(27&gt;='Hypothèses'!$D$36,1,0)</f>
      </c>
      <c r="AE37" s="3" t="e">
        <f>IF(28&gt;='Hypothèses'!$D$36,1,0)</f>
      </c>
      <c r="AF37" s="3" t="e">
        <f>IF(29&gt;='Hypothèses'!$D$36,1,0)</f>
      </c>
      <c r="AG37" s="3" t="e">
        <f>IF(30&gt;='Hypothèses'!$D$36,1,0)</f>
      </c>
      <c r="AH37" s="3" t="e">
        <f>IF(31&gt;='Hypothèses'!$D$36,1,0)</f>
      </c>
      <c r="AI37" s="3" t="e">
        <f>IF(32&gt;='Hypothèses'!$D$36,1,0)</f>
      </c>
      <c r="AJ37" s="3" t="e">
        <f>IF(33&gt;='Hypothèses'!$D$36,1,0)</f>
      </c>
      <c r="AK37" s="3" t="e">
        <f>IF(34&gt;='Hypothèses'!$D$36,1,0)</f>
      </c>
      <c r="AL37" s="3" t="e">
        <f>IF(35&gt;='Hypothèses'!$D$36,1,0)</f>
      </c>
      <c r="AM37" s="3" t="e">
        <f>IF(36&gt;='Hypothèses'!$D$36,1,0)</f>
      </c>
      <c r="AN37" s="3" t="e">
        <f>IF(37&gt;='Hypothèses'!$D$36,1,0)</f>
      </c>
      <c r="AO37" s="3" t="e">
        <f>IF(38&gt;='Hypothèses'!$D$36,1,0)</f>
      </c>
      <c r="AP37" s="3" t="e">
        <f>IF(39&gt;='Hypothèses'!$D$36,1,0)</f>
      </c>
      <c r="AQ37" s="3" t="e">
        <f>IF(40&gt;='Hypothèses'!$D$36,1,0)</f>
      </c>
      <c r="AR37" s="3" t="e">
        <f>IF(41&gt;='Hypothèses'!$D$36,1,0)</f>
      </c>
      <c r="AS37" s="3" t="e">
        <f>IF(42&gt;='Hypothèses'!$D$36,1,0)</f>
      </c>
      <c r="AT37" s="3" t="e">
        <f>IF(43&gt;='Hypothèses'!$D$36,1,0)</f>
      </c>
      <c r="AU37" s="3" t="e">
        <f>IF(44&gt;='Hypothèses'!$D$36,1,0)</f>
      </c>
      <c r="AV37" s="3" t="e">
        <f>IF(45&gt;='Hypothèses'!$D$36,1,0)</f>
      </c>
      <c r="AW37" s="3" t="e">
        <f>IF(46&gt;='Hypothèses'!$D$36,1,0)</f>
      </c>
      <c r="AX37" s="3" t="e">
        <f>IF(47&gt;='Hypothèses'!$D$36,1,0)</f>
      </c>
      <c r="AY37" s="3" t="e">
        <f>IF(48&gt;='Hypothèses'!$D$36,1,0)</f>
      </c>
      <c r="AZ37" s="3" t="e">
        <f>IF(49&gt;='Hypothèses'!$D$36,1,0)</f>
      </c>
      <c r="BA37" s="3" t="e">
        <f>IF(50&gt;='Hypothèses'!$D$36,1,0)</f>
      </c>
      <c r="BB37" s="3" t="e">
        <f>IF(51&gt;='Hypothèses'!$D$36,1,0)</f>
      </c>
      <c r="BC37" s="3" t="e">
        <f>IF(52&gt;='Hypothèses'!$D$36,1,0)</f>
      </c>
      <c r="BD37" s="3" t="e">
        <f>IF(53&gt;='Hypothèses'!$D$36,1,0)</f>
      </c>
      <c r="BE37" s="3" t="e">
        <f>IF(54&gt;='Hypothèses'!$D$36,1,0)</f>
      </c>
      <c r="BF37" s="3" t="e">
        <f>IF(55&gt;='Hypothèses'!$D$36,1,0)</f>
      </c>
      <c r="BG37" s="3" t="e">
        <f>IF(56&gt;='Hypothèses'!$D$36,1,0)</f>
      </c>
      <c r="BH37" s="3" t="e">
        <f>IF(57&gt;='Hypothèses'!$D$36,1,0)</f>
      </c>
      <c r="BI37" s="3" t="e">
        <f>IF(58&gt;='Hypothèses'!$D$36,1,0)</f>
      </c>
      <c r="BJ37" s="3" t="e">
        <f>IF(59&gt;='Hypothèses'!$D$36,1,0)</f>
      </c>
      <c r="BK37" s="3" t="e">
        <f>IF(60&gt;='Hypothèses'!$D$36,1,0)</f>
      </c>
      <c r="BL37" s="3" t="e">
        <f>O37</f>
      </c>
      <c r="BM37" s="3" t="e">
        <f>AA37</f>
      </c>
      <c r="BN37" s="3" t="e">
        <f>AM37</f>
      </c>
      <c r="BO37" s="3" t="e">
        <f>AY37</f>
      </c>
      <c r="BP37" s="3" t="e">
        <f>BK37</f>
      </c>
    </row>
    <row r="38">
      <c r="A38" t="str">
        <v>Commercial salarié n°10 — ancienneté</v>
      </c>
      <c r="B38" t="str">
        <v>mois</v>
      </c>
      <c r="C38" s="3">
        <v>0</v>
      </c>
      <c r="D38" s="3" t="e">
        <f>IF(D37=1,C38+1,0)</f>
      </c>
      <c r="E38" s="3" t="e">
        <f>IF(E37=1,D38+1,0)</f>
      </c>
      <c r="F38" s="3" t="e">
        <f>IF(F37=1,E38+1,0)</f>
      </c>
      <c r="G38" s="3" t="e">
        <f>IF(G37=1,F38+1,0)</f>
      </c>
      <c r="H38" s="3" t="e">
        <f>IF(H37=1,G38+1,0)</f>
      </c>
      <c r="I38" s="3" t="e">
        <f>IF(I37=1,H38+1,0)</f>
      </c>
      <c r="J38" s="3" t="e">
        <f>IF(J37=1,I38+1,0)</f>
      </c>
      <c r="K38" s="3" t="e">
        <f>IF(K37=1,J38+1,0)</f>
      </c>
      <c r="L38" s="3" t="e">
        <f>IF(L37=1,K38+1,0)</f>
      </c>
      <c r="M38" s="3" t="e">
        <f>IF(M37=1,L38+1,0)</f>
      </c>
      <c r="N38" s="3" t="e">
        <f>IF(N37=1,M38+1,0)</f>
      </c>
      <c r="O38" s="3" t="e">
        <f>IF(O37=1,N38+1,0)</f>
      </c>
      <c r="P38" s="3" t="e">
        <f>IF(P37=1,O38+1,0)</f>
      </c>
      <c r="Q38" s="3" t="e">
        <f>IF(Q37=1,P38+1,0)</f>
      </c>
      <c r="R38" s="3" t="e">
        <f>IF(R37=1,Q38+1,0)</f>
      </c>
      <c r="S38" s="3" t="e">
        <f>IF(S37=1,R38+1,0)</f>
      </c>
      <c r="T38" s="3" t="e">
        <f>IF(T37=1,S38+1,0)</f>
      </c>
      <c r="U38" s="3" t="e">
        <f>IF(U37=1,T38+1,0)</f>
      </c>
      <c r="V38" s="3" t="e">
        <f>IF(V37=1,U38+1,0)</f>
      </c>
      <c r="W38" s="3" t="e">
        <f>IF(W37=1,V38+1,0)</f>
      </c>
      <c r="X38" s="3" t="e">
        <f>IF(X37=1,W38+1,0)</f>
      </c>
      <c r="Y38" s="3" t="e">
        <f>IF(Y37=1,X38+1,0)</f>
      </c>
      <c r="Z38" s="3" t="e">
        <f>IF(Z37=1,Y38+1,0)</f>
      </c>
      <c r="AA38" s="3" t="e">
        <f>IF(AA37=1,Z38+1,0)</f>
      </c>
      <c r="AB38" s="3" t="e">
        <f>IF(AB37=1,AA38+1,0)</f>
      </c>
      <c r="AC38" s="3" t="e">
        <f>IF(AC37=1,AB38+1,0)</f>
      </c>
      <c r="AD38" s="3" t="e">
        <f>IF(AD37=1,AC38+1,0)</f>
      </c>
      <c r="AE38" s="3" t="e">
        <f>IF(AE37=1,AD38+1,0)</f>
      </c>
      <c r="AF38" s="3" t="e">
        <f>IF(AF37=1,AE38+1,0)</f>
      </c>
      <c r="AG38" s="3" t="e">
        <f>IF(AG37=1,AF38+1,0)</f>
      </c>
      <c r="AH38" s="3" t="e">
        <f>IF(AH37=1,AG38+1,0)</f>
      </c>
      <c r="AI38" s="3" t="e">
        <f>IF(AI37=1,AH38+1,0)</f>
      </c>
      <c r="AJ38" s="3" t="e">
        <f>IF(AJ37=1,AI38+1,0)</f>
      </c>
      <c r="AK38" s="3" t="e">
        <f>IF(AK37=1,AJ38+1,0)</f>
      </c>
      <c r="AL38" s="3" t="e">
        <f>IF(AL37=1,AK38+1,0)</f>
      </c>
      <c r="AM38" s="3" t="e">
        <f>IF(AM37=1,AL38+1,0)</f>
      </c>
      <c r="AN38" s="3" t="e">
        <f>IF(AN37=1,AM38+1,0)</f>
      </c>
      <c r="AO38" s="3" t="e">
        <f>IF(AO37=1,AN38+1,0)</f>
      </c>
      <c r="AP38" s="3" t="e">
        <f>IF(AP37=1,AO38+1,0)</f>
      </c>
      <c r="AQ38" s="3" t="e">
        <f>IF(AQ37=1,AP38+1,0)</f>
      </c>
      <c r="AR38" s="3" t="e">
        <f>IF(AR37=1,AQ38+1,0)</f>
      </c>
      <c r="AS38" s="3" t="e">
        <f>IF(AS37=1,AR38+1,0)</f>
      </c>
      <c r="AT38" s="3" t="e">
        <f>IF(AT37=1,AS38+1,0)</f>
      </c>
      <c r="AU38" s="3" t="e">
        <f>IF(AU37=1,AT38+1,0)</f>
      </c>
      <c r="AV38" s="3" t="e">
        <f>IF(AV37=1,AU38+1,0)</f>
      </c>
      <c r="AW38" s="3" t="e">
        <f>IF(AW37=1,AV38+1,0)</f>
      </c>
      <c r="AX38" s="3" t="e">
        <f>IF(AX37=1,AW38+1,0)</f>
      </c>
      <c r="AY38" s="3" t="e">
        <f>IF(AY37=1,AX38+1,0)</f>
      </c>
      <c r="AZ38" s="3" t="e">
        <f>IF(AZ37=1,AY38+1,0)</f>
      </c>
      <c r="BA38" s="3" t="e">
        <f>IF(BA37=1,AZ38+1,0)</f>
      </c>
      <c r="BB38" s="3" t="e">
        <f>IF(BB37=1,BA38+1,0)</f>
      </c>
      <c r="BC38" s="3" t="e">
        <f>IF(BC37=1,BB38+1,0)</f>
      </c>
      <c r="BD38" s="3" t="e">
        <f>IF(BD37=1,BC38+1,0)</f>
      </c>
      <c r="BE38" s="3" t="e">
        <f>IF(BE37=1,BD38+1,0)</f>
      </c>
      <c r="BF38" s="3" t="e">
        <f>IF(BF37=1,BE38+1,0)</f>
      </c>
      <c r="BG38" s="3" t="e">
        <f>IF(BG37=1,BF38+1,0)</f>
      </c>
      <c r="BH38" s="3" t="e">
        <f>IF(BH37=1,BG38+1,0)</f>
      </c>
      <c r="BI38" s="3" t="e">
        <f>IF(BI37=1,BH38+1,0)</f>
      </c>
      <c r="BJ38" s="3" t="e">
        <f>IF(BJ37=1,BI38+1,0)</f>
      </c>
      <c r="BK38" s="3" t="e">
        <f>IF(BK37=1,BJ38+1,0)</f>
      </c>
      <c r="BL38" s="3" t="e">
        <f>O38</f>
      </c>
      <c r="BM38" s="3" t="e">
        <f>AA38</f>
      </c>
      <c r="BN38" s="3" t="e">
        <f>AM38</f>
      </c>
      <c r="BO38" s="3" t="e">
        <f>AY38</f>
      </c>
      <c r="BP38" s="3" t="e">
        <f>BK38</f>
      </c>
    </row>
    <row r="39">
      <c r="A39" t="str">
        <v>Commercial salarié n°10 — productivité (ramp)</v>
      </c>
      <c r="B39" t="str">
        <v>%</v>
      </c>
      <c r="C39" s="2">
        <v>0</v>
      </c>
      <c r="D39" s="2" t="e">
        <f>IF(D37=1,MIN(1,D38/'Hypothèses'!$D$19),0)</f>
      </c>
      <c r="E39" s="2" t="e">
        <f>IF(E37=1,MIN(1,E38/'Hypothèses'!$D$19),0)</f>
      </c>
      <c r="F39" s="2" t="e">
        <f>IF(F37=1,MIN(1,F38/'Hypothèses'!$D$19),0)</f>
      </c>
      <c r="G39" s="2" t="e">
        <f>IF(G37=1,MIN(1,G38/'Hypothèses'!$D$19),0)</f>
      </c>
      <c r="H39" s="2" t="e">
        <f>IF(H37=1,MIN(1,H38/'Hypothèses'!$D$19),0)</f>
      </c>
      <c r="I39" s="2" t="e">
        <f>IF(I37=1,MIN(1,I38/'Hypothèses'!$D$19),0)</f>
      </c>
      <c r="J39" s="2" t="e">
        <f>IF(J37=1,MIN(1,J38/'Hypothèses'!$D$19),0)</f>
      </c>
      <c r="K39" s="2" t="e">
        <f>IF(K37=1,MIN(1,K38/'Hypothèses'!$D$19),0)</f>
      </c>
      <c r="L39" s="2" t="e">
        <f>IF(L37=1,MIN(1,L38/'Hypothèses'!$D$19),0)</f>
      </c>
      <c r="M39" s="2" t="e">
        <f>IF(M37=1,MIN(1,M38/'Hypothèses'!$D$19),0)</f>
      </c>
      <c r="N39" s="2" t="e">
        <f>IF(N37=1,MIN(1,N38/'Hypothèses'!$D$19),0)</f>
      </c>
      <c r="O39" s="2" t="e">
        <f>IF(O37=1,MIN(1,O38/'Hypothèses'!$D$19),0)</f>
      </c>
      <c r="P39" s="2" t="e">
        <f>IF(P37=1,MIN(1,P38/'Hypothèses'!$D$19),0)</f>
      </c>
      <c r="Q39" s="2" t="e">
        <f>IF(Q37=1,MIN(1,Q38/'Hypothèses'!$D$19),0)</f>
      </c>
      <c r="R39" s="2" t="e">
        <f>IF(R37=1,MIN(1,R38/'Hypothèses'!$D$19),0)</f>
      </c>
      <c r="S39" s="2" t="e">
        <f>IF(S37=1,MIN(1,S38/'Hypothèses'!$D$19),0)</f>
      </c>
      <c r="T39" s="2" t="e">
        <f>IF(T37=1,MIN(1,T38/'Hypothèses'!$D$19),0)</f>
      </c>
      <c r="U39" s="2" t="e">
        <f>IF(U37=1,MIN(1,U38/'Hypothèses'!$D$19),0)</f>
      </c>
      <c r="V39" s="2" t="e">
        <f>IF(V37=1,MIN(1,V38/'Hypothèses'!$D$19),0)</f>
      </c>
      <c r="W39" s="2" t="e">
        <f>IF(W37=1,MIN(1,W38/'Hypothèses'!$D$19),0)</f>
      </c>
      <c r="X39" s="2" t="e">
        <f>IF(X37=1,MIN(1,X38/'Hypothèses'!$D$19),0)</f>
      </c>
      <c r="Y39" s="2" t="e">
        <f>IF(Y37=1,MIN(1,Y38/'Hypothèses'!$D$19),0)</f>
      </c>
      <c r="Z39" s="2" t="e">
        <f>IF(Z37=1,MIN(1,Z38/'Hypothèses'!$D$19),0)</f>
      </c>
      <c r="AA39" s="2" t="e">
        <f>IF(AA37=1,MIN(1,AA38/'Hypothèses'!$D$19),0)</f>
      </c>
      <c r="AB39" s="2" t="e">
        <f>IF(AB37=1,MIN(1,AB38/'Hypothèses'!$D$19),0)</f>
      </c>
      <c r="AC39" s="2" t="e">
        <f>IF(AC37=1,MIN(1,AC38/'Hypothèses'!$D$19),0)</f>
      </c>
      <c r="AD39" s="2" t="e">
        <f>IF(AD37=1,MIN(1,AD38/'Hypothèses'!$D$19),0)</f>
      </c>
      <c r="AE39" s="2" t="e">
        <f>IF(AE37=1,MIN(1,AE38/'Hypothèses'!$D$19),0)</f>
      </c>
      <c r="AF39" s="2" t="e">
        <f>IF(AF37=1,MIN(1,AF38/'Hypothèses'!$D$19),0)</f>
      </c>
      <c r="AG39" s="2" t="e">
        <f>IF(AG37=1,MIN(1,AG38/'Hypothèses'!$D$19),0)</f>
      </c>
      <c r="AH39" s="2" t="e">
        <f>IF(AH37=1,MIN(1,AH38/'Hypothèses'!$D$19),0)</f>
      </c>
      <c r="AI39" s="2" t="e">
        <f>IF(AI37=1,MIN(1,AI38/'Hypothèses'!$D$19),0)</f>
      </c>
      <c r="AJ39" s="2" t="e">
        <f>IF(AJ37=1,MIN(1,AJ38/'Hypothèses'!$D$19),0)</f>
      </c>
      <c r="AK39" s="2" t="e">
        <f>IF(AK37=1,MIN(1,AK38/'Hypothèses'!$D$19),0)</f>
      </c>
      <c r="AL39" s="2" t="e">
        <f>IF(AL37=1,MIN(1,AL38/'Hypothèses'!$D$19),0)</f>
      </c>
      <c r="AM39" s="2" t="e">
        <f>IF(AM37=1,MIN(1,AM38/'Hypothèses'!$D$19),0)</f>
      </c>
      <c r="AN39" s="2" t="e">
        <f>IF(AN37=1,MIN(1,AN38/'Hypothèses'!$D$19),0)</f>
      </c>
      <c r="AO39" s="2" t="e">
        <f>IF(AO37=1,MIN(1,AO38/'Hypothèses'!$D$19),0)</f>
      </c>
      <c r="AP39" s="2" t="e">
        <f>IF(AP37=1,MIN(1,AP38/'Hypothèses'!$D$19),0)</f>
      </c>
      <c r="AQ39" s="2" t="e">
        <f>IF(AQ37=1,MIN(1,AQ38/'Hypothèses'!$D$19),0)</f>
      </c>
      <c r="AR39" s="2" t="e">
        <f>IF(AR37=1,MIN(1,AR38/'Hypothèses'!$D$19),0)</f>
      </c>
      <c r="AS39" s="2" t="e">
        <f>IF(AS37=1,MIN(1,AS38/'Hypothèses'!$D$19),0)</f>
      </c>
      <c r="AT39" s="2" t="e">
        <f>IF(AT37=1,MIN(1,AT38/'Hypothèses'!$D$19),0)</f>
      </c>
      <c r="AU39" s="2" t="e">
        <f>IF(AU37=1,MIN(1,AU38/'Hypothèses'!$D$19),0)</f>
      </c>
      <c r="AV39" s="2" t="e">
        <f>IF(AV37=1,MIN(1,AV38/'Hypothèses'!$D$19),0)</f>
      </c>
      <c r="AW39" s="2" t="e">
        <f>IF(AW37=1,MIN(1,AW38/'Hypothèses'!$D$19),0)</f>
      </c>
      <c r="AX39" s="2" t="e">
        <f>IF(AX37=1,MIN(1,AX38/'Hypothèses'!$D$19),0)</f>
      </c>
      <c r="AY39" s="2" t="e">
        <f>IF(AY37=1,MIN(1,AY38/'Hypothèses'!$D$19),0)</f>
      </c>
      <c r="AZ39" s="2" t="e">
        <f>IF(AZ37=1,MIN(1,AZ38/'Hypothèses'!$D$19),0)</f>
      </c>
      <c r="BA39" s="2" t="e">
        <f>IF(BA37=1,MIN(1,BA38/'Hypothèses'!$D$19),0)</f>
      </c>
      <c r="BB39" s="2" t="e">
        <f>IF(BB37=1,MIN(1,BB38/'Hypothèses'!$D$19),0)</f>
      </c>
      <c r="BC39" s="2" t="e">
        <f>IF(BC37=1,MIN(1,BC38/'Hypothèses'!$D$19),0)</f>
      </c>
      <c r="BD39" s="2" t="e">
        <f>IF(BD37=1,MIN(1,BD38/'Hypothèses'!$D$19),0)</f>
      </c>
      <c r="BE39" s="2" t="e">
        <f>IF(BE37=1,MIN(1,BE38/'Hypothèses'!$D$19),0)</f>
      </c>
      <c r="BF39" s="2" t="e">
        <f>IF(BF37=1,MIN(1,BF38/'Hypothèses'!$D$19),0)</f>
      </c>
      <c r="BG39" s="2" t="e">
        <f>IF(BG37=1,MIN(1,BG38/'Hypothèses'!$D$19),0)</f>
      </c>
      <c r="BH39" s="2" t="e">
        <f>IF(BH37=1,MIN(1,BH38/'Hypothèses'!$D$19),0)</f>
      </c>
      <c r="BI39" s="2" t="e">
        <f>IF(BI37=1,MIN(1,BI38/'Hypothèses'!$D$19),0)</f>
      </c>
      <c r="BJ39" s="2" t="e">
        <f>IF(BJ37=1,MIN(1,BJ38/'Hypothèses'!$D$19),0)</f>
      </c>
      <c r="BK39" s="2" t="e">
        <f>IF(BK37=1,MIN(1,BK38/'Hypothèses'!$D$19),0)</f>
      </c>
      <c r="BL39" s="2" t="e">
        <f>AVERAGE(D39:O39)</f>
      </c>
      <c r="BM39" s="2" t="e">
        <f>AVERAGE(P39:AA39)</f>
      </c>
      <c r="BN39" s="2" t="e">
        <f>AVERAGE(AB39:AM39)</f>
      </c>
      <c r="BO39" s="2" t="e">
        <f>AVERAGE(AN39:AY39)</f>
      </c>
      <c r="BP39" s="2" t="e">
        <f>AVERAGE(AZ39:BK39)</f>
      </c>
    </row>
    <row r="40">
      <c r="A40" t="str">
        <v>Commercial salarié n°11 en poste (1/0)</v>
      </c>
      <c r="B40" t="str">
        <v>0/1</v>
      </c>
      <c r="C40" s="3">
        <v>0</v>
      </c>
      <c r="D40" s="3" t="e">
        <f>IF(1&gt;='Hypothèses'!$D$37,1,0)</f>
      </c>
      <c r="E40" s="3" t="e">
        <f>IF(2&gt;='Hypothèses'!$D$37,1,0)</f>
      </c>
      <c r="F40" s="3" t="e">
        <f>IF(3&gt;='Hypothèses'!$D$37,1,0)</f>
      </c>
      <c r="G40" s="3" t="e">
        <f>IF(4&gt;='Hypothèses'!$D$37,1,0)</f>
      </c>
      <c r="H40" s="3" t="e">
        <f>IF(5&gt;='Hypothèses'!$D$37,1,0)</f>
      </c>
      <c r="I40" s="3" t="e">
        <f>IF(6&gt;='Hypothèses'!$D$37,1,0)</f>
      </c>
      <c r="J40" s="3" t="e">
        <f>IF(7&gt;='Hypothèses'!$D$37,1,0)</f>
      </c>
      <c r="K40" s="3" t="e">
        <f>IF(8&gt;='Hypothèses'!$D$37,1,0)</f>
      </c>
      <c r="L40" s="3" t="e">
        <f>IF(9&gt;='Hypothèses'!$D$37,1,0)</f>
      </c>
      <c r="M40" s="3" t="e">
        <f>IF(10&gt;='Hypothèses'!$D$37,1,0)</f>
      </c>
      <c r="N40" s="3" t="e">
        <f>IF(11&gt;='Hypothèses'!$D$37,1,0)</f>
      </c>
      <c r="O40" s="3" t="e">
        <f>IF(12&gt;='Hypothèses'!$D$37,1,0)</f>
      </c>
      <c r="P40" s="3" t="e">
        <f>IF(13&gt;='Hypothèses'!$D$37,1,0)</f>
      </c>
      <c r="Q40" s="3" t="e">
        <f>IF(14&gt;='Hypothèses'!$D$37,1,0)</f>
      </c>
      <c r="R40" s="3" t="e">
        <f>IF(15&gt;='Hypothèses'!$D$37,1,0)</f>
      </c>
      <c r="S40" s="3" t="e">
        <f>IF(16&gt;='Hypothèses'!$D$37,1,0)</f>
      </c>
      <c r="T40" s="3" t="e">
        <f>IF(17&gt;='Hypothèses'!$D$37,1,0)</f>
      </c>
      <c r="U40" s="3" t="e">
        <f>IF(18&gt;='Hypothèses'!$D$37,1,0)</f>
      </c>
      <c r="V40" s="3" t="e">
        <f>IF(19&gt;='Hypothèses'!$D$37,1,0)</f>
      </c>
      <c r="W40" s="3" t="e">
        <f>IF(20&gt;='Hypothèses'!$D$37,1,0)</f>
      </c>
      <c r="X40" s="3" t="e">
        <f>IF(21&gt;='Hypothèses'!$D$37,1,0)</f>
      </c>
      <c r="Y40" s="3" t="e">
        <f>IF(22&gt;='Hypothèses'!$D$37,1,0)</f>
      </c>
      <c r="Z40" s="3" t="e">
        <f>IF(23&gt;='Hypothèses'!$D$37,1,0)</f>
      </c>
      <c r="AA40" s="3" t="e">
        <f>IF(24&gt;='Hypothèses'!$D$37,1,0)</f>
      </c>
      <c r="AB40" s="3" t="e">
        <f>IF(25&gt;='Hypothèses'!$D$37,1,0)</f>
      </c>
      <c r="AC40" s="3" t="e">
        <f>IF(26&gt;='Hypothèses'!$D$37,1,0)</f>
      </c>
      <c r="AD40" s="3" t="e">
        <f>IF(27&gt;='Hypothèses'!$D$37,1,0)</f>
      </c>
      <c r="AE40" s="3" t="e">
        <f>IF(28&gt;='Hypothèses'!$D$37,1,0)</f>
      </c>
      <c r="AF40" s="3" t="e">
        <f>IF(29&gt;='Hypothèses'!$D$37,1,0)</f>
      </c>
      <c r="AG40" s="3" t="e">
        <f>IF(30&gt;='Hypothèses'!$D$37,1,0)</f>
      </c>
      <c r="AH40" s="3" t="e">
        <f>IF(31&gt;='Hypothèses'!$D$37,1,0)</f>
      </c>
      <c r="AI40" s="3" t="e">
        <f>IF(32&gt;='Hypothèses'!$D$37,1,0)</f>
      </c>
      <c r="AJ40" s="3" t="e">
        <f>IF(33&gt;='Hypothèses'!$D$37,1,0)</f>
      </c>
      <c r="AK40" s="3" t="e">
        <f>IF(34&gt;='Hypothèses'!$D$37,1,0)</f>
      </c>
      <c r="AL40" s="3" t="e">
        <f>IF(35&gt;='Hypothèses'!$D$37,1,0)</f>
      </c>
      <c r="AM40" s="3" t="e">
        <f>IF(36&gt;='Hypothèses'!$D$37,1,0)</f>
      </c>
      <c r="AN40" s="3" t="e">
        <f>IF(37&gt;='Hypothèses'!$D$37,1,0)</f>
      </c>
      <c r="AO40" s="3" t="e">
        <f>IF(38&gt;='Hypothèses'!$D$37,1,0)</f>
      </c>
      <c r="AP40" s="3" t="e">
        <f>IF(39&gt;='Hypothèses'!$D$37,1,0)</f>
      </c>
      <c r="AQ40" s="3" t="e">
        <f>IF(40&gt;='Hypothèses'!$D$37,1,0)</f>
      </c>
      <c r="AR40" s="3" t="e">
        <f>IF(41&gt;='Hypothèses'!$D$37,1,0)</f>
      </c>
      <c r="AS40" s="3" t="e">
        <f>IF(42&gt;='Hypothèses'!$D$37,1,0)</f>
      </c>
      <c r="AT40" s="3" t="e">
        <f>IF(43&gt;='Hypothèses'!$D$37,1,0)</f>
      </c>
      <c r="AU40" s="3" t="e">
        <f>IF(44&gt;='Hypothèses'!$D$37,1,0)</f>
      </c>
      <c r="AV40" s="3" t="e">
        <f>IF(45&gt;='Hypothèses'!$D$37,1,0)</f>
      </c>
      <c r="AW40" s="3" t="e">
        <f>IF(46&gt;='Hypothèses'!$D$37,1,0)</f>
      </c>
      <c r="AX40" s="3" t="e">
        <f>IF(47&gt;='Hypothèses'!$D$37,1,0)</f>
      </c>
      <c r="AY40" s="3" t="e">
        <f>IF(48&gt;='Hypothèses'!$D$37,1,0)</f>
      </c>
      <c r="AZ40" s="3" t="e">
        <f>IF(49&gt;='Hypothèses'!$D$37,1,0)</f>
      </c>
      <c r="BA40" s="3" t="e">
        <f>IF(50&gt;='Hypothèses'!$D$37,1,0)</f>
      </c>
      <c r="BB40" s="3" t="e">
        <f>IF(51&gt;='Hypothèses'!$D$37,1,0)</f>
      </c>
      <c r="BC40" s="3" t="e">
        <f>IF(52&gt;='Hypothèses'!$D$37,1,0)</f>
      </c>
      <c r="BD40" s="3" t="e">
        <f>IF(53&gt;='Hypothèses'!$D$37,1,0)</f>
      </c>
      <c r="BE40" s="3" t="e">
        <f>IF(54&gt;='Hypothèses'!$D$37,1,0)</f>
      </c>
      <c r="BF40" s="3" t="e">
        <f>IF(55&gt;='Hypothèses'!$D$37,1,0)</f>
      </c>
      <c r="BG40" s="3" t="e">
        <f>IF(56&gt;='Hypothèses'!$D$37,1,0)</f>
      </c>
      <c r="BH40" s="3" t="e">
        <f>IF(57&gt;='Hypothèses'!$D$37,1,0)</f>
      </c>
      <c r="BI40" s="3" t="e">
        <f>IF(58&gt;='Hypothèses'!$D$37,1,0)</f>
      </c>
      <c r="BJ40" s="3" t="e">
        <f>IF(59&gt;='Hypothèses'!$D$37,1,0)</f>
      </c>
      <c r="BK40" s="3" t="e">
        <f>IF(60&gt;='Hypothèses'!$D$37,1,0)</f>
      </c>
      <c r="BL40" s="3" t="e">
        <f>O40</f>
      </c>
      <c r="BM40" s="3" t="e">
        <f>AA40</f>
      </c>
      <c r="BN40" s="3" t="e">
        <f>AM40</f>
      </c>
      <c r="BO40" s="3" t="e">
        <f>AY40</f>
      </c>
      <c r="BP40" s="3" t="e">
        <f>BK40</f>
      </c>
    </row>
    <row r="41">
      <c r="A41" t="str">
        <v>Commercial salarié n°11 — ancienneté</v>
      </c>
      <c r="B41" t="str">
        <v>mois</v>
      </c>
      <c r="C41" s="3">
        <v>0</v>
      </c>
      <c r="D41" s="3" t="e">
        <f>IF(D40=1,C41+1,0)</f>
      </c>
      <c r="E41" s="3" t="e">
        <f>IF(E40=1,D41+1,0)</f>
      </c>
      <c r="F41" s="3" t="e">
        <f>IF(F40=1,E41+1,0)</f>
      </c>
      <c r="G41" s="3" t="e">
        <f>IF(G40=1,F41+1,0)</f>
      </c>
      <c r="H41" s="3" t="e">
        <f>IF(H40=1,G41+1,0)</f>
      </c>
      <c r="I41" s="3" t="e">
        <f>IF(I40=1,H41+1,0)</f>
      </c>
      <c r="J41" s="3" t="e">
        <f>IF(J40=1,I41+1,0)</f>
      </c>
      <c r="K41" s="3" t="e">
        <f>IF(K40=1,J41+1,0)</f>
      </c>
      <c r="L41" s="3" t="e">
        <f>IF(L40=1,K41+1,0)</f>
      </c>
      <c r="M41" s="3" t="e">
        <f>IF(M40=1,L41+1,0)</f>
      </c>
      <c r="N41" s="3" t="e">
        <f>IF(N40=1,M41+1,0)</f>
      </c>
      <c r="O41" s="3" t="e">
        <f>IF(O40=1,N41+1,0)</f>
      </c>
      <c r="P41" s="3" t="e">
        <f>IF(P40=1,O41+1,0)</f>
      </c>
      <c r="Q41" s="3" t="e">
        <f>IF(Q40=1,P41+1,0)</f>
      </c>
      <c r="R41" s="3" t="e">
        <f>IF(R40=1,Q41+1,0)</f>
      </c>
      <c r="S41" s="3" t="e">
        <f>IF(S40=1,R41+1,0)</f>
      </c>
      <c r="T41" s="3" t="e">
        <f>IF(T40=1,S41+1,0)</f>
      </c>
      <c r="U41" s="3" t="e">
        <f>IF(U40=1,T41+1,0)</f>
      </c>
      <c r="V41" s="3" t="e">
        <f>IF(V40=1,U41+1,0)</f>
      </c>
      <c r="W41" s="3" t="e">
        <f>IF(W40=1,V41+1,0)</f>
      </c>
      <c r="X41" s="3" t="e">
        <f>IF(X40=1,W41+1,0)</f>
      </c>
      <c r="Y41" s="3" t="e">
        <f>IF(Y40=1,X41+1,0)</f>
      </c>
      <c r="Z41" s="3" t="e">
        <f>IF(Z40=1,Y41+1,0)</f>
      </c>
      <c r="AA41" s="3" t="e">
        <f>IF(AA40=1,Z41+1,0)</f>
      </c>
      <c r="AB41" s="3" t="e">
        <f>IF(AB40=1,AA41+1,0)</f>
      </c>
      <c r="AC41" s="3" t="e">
        <f>IF(AC40=1,AB41+1,0)</f>
      </c>
      <c r="AD41" s="3" t="e">
        <f>IF(AD40=1,AC41+1,0)</f>
      </c>
      <c r="AE41" s="3" t="e">
        <f>IF(AE40=1,AD41+1,0)</f>
      </c>
      <c r="AF41" s="3" t="e">
        <f>IF(AF40=1,AE41+1,0)</f>
      </c>
      <c r="AG41" s="3" t="e">
        <f>IF(AG40=1,AF41+1,0)</f>
      </c>
      <c r="AH41" s="3" t="e">
        <f>IF(AH40=1,AG41+1,0)</f>
      </c>
      <c r="AI41" s="3" t="e">
        <f>IF(AI40=1,AH41+1,0)</f>
      </c>
      <c r="AJ41" s="3" t="e">
        <f>IF(AJ40=1,AI41+1,0)</f>
      </c>
      <c r="AK41" s="3" t="e">
        <f>IF(AK40=1,AJ41+1,0)</f>
      </c>
      <c r="AL41" s="3" t="e">
        <f>IF(AL40=1,AK41+1,0)</f>
      </c>
      <c r="AM41" s="3" t="e">
        <f>IF(AM40=1,AL41+1,0)</f>
      </c>
      <c r="AN41" s="3" t="e">
        <f>IF(AN40=1,AM41+1,0)</f>
      </c>
      <c r="AO41" s="3" t="e">
        <f>IF(AO40=1,AN41+1,0)</f>
      </c>
      <c r="AP41" s="3" t="e">
        <f>IF(AP40=1,AO41+1,0)</f>
      </c>
      <c r="AQ41" s="3" t="e">
        <f>IF(AQ40=1,AP41+1,0)</f>
      </c>
      <c r="AR41" s="3" t="e">
        <f>IF(AR40=1,AQ41+1,0)</f>
      </c>
      <c r="AS41" s="3" t="e">
        <f>IF(AS40=1,AR41+1,0)</f>
      </c>
      <c r="AT41" s="3" t="e">
        <f>IF(AT40=1,AS41+1,0)</f>
      </c>
      <c r="AU41" s="3" t="e">
        <f>IF(AU40=1,AT41+1,0)</f>
      </c>
      <c r="AV41" s="3" t="e">
        <f>IF(AV40=1,AU41+1,0)</f>
      </c>
      <c r="AW41" s="3" t="e">
        <f>IF(AW40=1,AV41+1,0)</f>
      </c>
      <c r="AX41" s="3" t="e">
        <f>IF(AX40=1,AW41+1,0)</f>
      </c>
      <c r="AY41" s="3" t="e">
        <f>IF(AY40=1,AX41+1,0)</f>
      </c>
      <c r="AZ41" s="3" t="e">
        <f>IF(AZ40=1,AY41+1,0)</f>
      </c>
      <c r="BA41" s="3" t="e">
        <f>IF(BA40=1,AZ41+1,0)</f>
      </c>
      <c r="BB41" s="3" t="e">
        <f>IF(BB40=1,BA41+1,0)</f>
      </c>
      <c r="BC41" s="3" t="e">
        <f>IF(BC40=1,BB41+1,0)</f>
      </c>
      <c r="BD41" s="3" t="e">
        <f>IF(BD40=1,BC41+1,0)</f>
      </c>
      <c r="BE41" s="3" t="e">
        <f>IF(BE40=1,BD41+1,0)</f>
      </c>
      <c r="BF41" s="3" t="e">
        <f>IF(BF40=1,BE41+1,0)</f>
      </c>
      <c r="BG41" s="3" t="e">
        <f>IF(BG40=1,BF41+1,0)</f>
      </c>
      <c r="BH41" s="3" t="e">
        <f>IF(BH40=1,BG41+1,0)</f>
      </c>
      <c r="BI41" s="3" t="e">
        <f>IF(BI40=1,BH41+1,0)</f>
      </c>
      <c r="BJ41" s="3" t="e">
        <f>IF(BJ40=1,BI41+1,0)</f>
      </c>
      <c r="BK41" s="3" t="e">
        <f>IF(BK40=1,BJ41+1,0)</f>
      </c>
      <c r="BL41" s="3" t="e">
        <f>O41</f>
      </c>
      <c r="BM41" s="3" t="e">
        <f>AA41</f>
      </c>
      <c r="BN41" s="3" t="e">
        <f>AM41</f>
      </c>
      <c r="BO41" s="3" t="e">
        <f>AY41</f>
      </c>
      <c r="BP41" s="3" t="e">
        <f>BK41</f>
      </c>
    </row>
    <row r="42">
      <c r="A42" t="str">
        <v>Commercial salarié n°11 — productivité (ramp)</v>
      </c>
      <c r="B42" t="str">
        <v>%</v>
      </c>
      <c r="C42" s="2">
        <v>0</v>
      </c>
      <c r="D42" s="2" t="e">
        <f>IF(D40=1,MIN(1,D41/'Hypothèses'!$D$19),0)</f>
      </c>
      <c r="E42" s="2" t="e">
        <f>IF(E40=1,MIN(1,E41/'Hypothèses'!$D$19),0)</f>
      </c>
      <c r="F42" s="2" t="e">
        <f>IF(F40=1,MIN(1,F41/'Hypothèses'!$D$19),0)</f>
      </c>
      <c r="G42" s="2" t="e">
        <f>IF(G40=1,MIN(1,G41/'Hypothèses'!$D$19),0)</f>
      </c>
      <c r="H42" s="2" t="e">
        <f>IF(H40=1,MIN(1,H41/'Hypothèses'!$D$19),0)</f>
      </c>
      <c r="I42" s="2" t="e">
        <f>IF(I40=1,MIN(1,I41/'Hypothèses'!$D$19),0)</f>
      </c>
      <c r="J42" s="2" t="e">
        <f>IF(J40=1,MIN(1,J41/'Hypothèses'!$D$19),0)</f>
      </c>
      <c r="K42" s="2" t="e">
        <f>IF(K40=1,MIN(1,K41/'Hypothèses'!$D$19),0)</f>
      </c>
      <c r="L42" s="2" t="e">
        <f>IF(L40=1,MIN(1,L41/'Hypothèses'!$D$19),0)</f>
      </c>
      <c r="M42" s="2" t="e">
        <f>IF(M40=1,MIN(1,M41/'Hypothèses'!$D$19),0)</f>
      </c>
      <c r="N42" s="2" t="e">
        <f>IF(N40=1,MIN(1,N41/'Hypothèses'!$D$19),0)</f>
      </c>
      <c r="O42" s="2" t="e">
        <f>IF(O40=1,MIN(1,O41/'Hypothèses'!$D$19),0)</f>
      </c>
      <c r="P42" s="2" t="e">
        <f>IF(P40=1,MIN(1,P41/'Hypothèses'!$D$19),0)</f>
      </c>
      <c r="Q42" s="2" t="e">
        <f>IF(Q40=1,MIN(1,Q41/'Hypothèses'!$D$19),0)</f>
      </c>
      <c r="R42" s="2" t="e">
        <f>IF(R40=1,MIN(1,R41/'Hypothèses'!$D$19),0)</f>
      </c>
      <c r="S42" s="2" t="e">
        <f>IF(S40=1,MIN(1,S41/'Hypothèses'!$D$19),0)</f>
      </c>
      <c r="T42" s="2" t="e">
        <f>IF(T40=1,MIN(1,T41/'Hypothèses'!$D$19),0)</f>
      </c>
      <c r="U42" s="2" t="e">
        <f>IF(U40=1,MIN(1,U41/'Hypothèses'!$D$19),0)</f>
      </c>
      <c r="V42" s="2" t="e">
        <f>IF(V40=1,MIN(1,V41/'Hypothèses'!$D$19),0)</f>
      </c>
      <c r="W42" s="2" t="e">
        <f>IF(W40=1,MIN(1,W41/'Hypothèses'!$D$19),0)</f>
      </c>
      <c r="X42" s="2" t="e">
        <f>IF(X40=1,MIN(1,X41/'Hypothèses'!$D$19),0)</f>
      </c>
      <c r="Y42" s="2" t="e">
        <f>IF(Y40=1,MIN(1,Y41/'Hypothèses'!$D$19),0)</f>
      </c>
      <c r="Z42" s="2" t="e">
        <f>IF(Z40=1,MIN(1,Z41/'Hypothèses'!$D$19),0)</f>
      </c>
      <c r="AA42" s="2" t="e">
        <f>IF(AA40=1,MIN(1,AA41/'Hypothèses'!$D$19),0)</f>
      </c>
      <c r="AB42" s="2" t="e">
        <f>IF(AB40=1,MIN(1,AB41/'Hypothèses'!$D$19),0)</f>
      </c>
      <c r="AC42" s="2" t="e">
        <f>IF(AC40=1,MIN(1,AC41/'Hypothèses'!$D$19),0)</f>
      </c>
      <c r="AD42" s="2" t="e">
        <f>IF(AD40=1,MIN(1,AD41/'Hypothèses'!$D$19),0)</f>
      </c>
      <c r="AE42" s="2" t="e">
        <f>IF(AE40=1,MIN(1,AE41/'Hypothèses'!$D$19),0)</f>
      </c>
      <c r="AF42" s="2" t="e">
        <f>IF(AF40=1,MIN(1,AF41/'Hypothèses'!$D$19),0)</f>
      </c>
      <c r="AG42" s="2" t="e">
        <f>IF(AG40=1,MIN(1,AG41/'Hypothèses'!$D$19),0)</f>
      </c>
      <c r="AH42" s="2" t="e">
        <f>IF(AH40=1,MIN(1,AH41/'Hypothèses'!$D$19),0)</f>
      </c>
      <c r="AI42" s="2" t="e">
        <f>IF(AI40=1,MIN(1,AI41/'Hypothèses'!$D$19),0)</f>
      </c>
      <c r="AJ42" s="2" t="e">
        <f>IF(AJ40=1,MIN(1,AJ41/'Hypothèses'!$D$19),0)</f>
      </c>
      <c r="AK42" s="2" t="e">
        <f>IF(AK40=1,MIN(1,AK41/'Hypothèses'!$D$19),0)</f>
      </c>
      <c r="AL42" s="2" t="e">
        <f>IF(AL40=1,MIN(1,AL41/'Hypothèses'!$D$19),0)</f>
      </c>
      <c r="AM42" s="2" t="e">
        <f>IF(AM40=1,MIN(1,AM41/'Hypothèses'!$D$19),0)</f>
      </c>
      <c r="AN42" s="2" t="e">
        <f>IF(AN40=1,MIN(1,AN41/'Hypothèses'!$D$19),0)</f>
      </c>
      <c r="AO42" s="2" t="e">
        <f>IF(AO40=1,MIN(1,AO41/'Hypothèses'!$D$19),0)</f>
      </c>
      <c r="AP42" s="2" t="e">
        <f>IF(AP40=1,MIN(1,AP41/'Hypothèses'!$D$19),0)</f>
      </c>
      <c r="AQ42" s="2" t="e">
        <f>IF(AQ40=1,MIN(1,AQ41/'Hypothèses'!$D$19),0)</f>
      </c>
      <c r="AR42" s="2" t="e">
        <f>IF(AR40=1,MIN(1,AR41/'Hypothèses'!$D$19),0)</f>
      </c>
      <c r="AS42" s="2" t="e">
        <f>IF(AS40=1,MIN(1,AS41/'Hypothèses'!$D$19),0)</f>
      </c>
      <c r="AT42" s="2" t="e">
        <f>IF(AT40=1,MIN(1,AT41/'Hypothèses'!$D$19),0)</f>
      </c>
      <c r="AU42" s="2" t="e">
        <f>IF(AU40=1,MIN(1,AU41/'Hypothèses'!$D$19),0)</f>
      </c>
      <c r="AV42" s="2" t="e">
        <f>IF(AV40=1,MIN(1,AV41/'Hypothèses'!$D$19),0)</f>
      </c>
      <c r="AW42" s="2" t="e">
        <f>IF(AW40=1,MIN(1,AW41/'Hypothèses'!$D$19),0)</f>
      </c>
      <c r="AX42" s="2" t="e">
        <f>IF(AX40=1,MIN(1,AX41/'Hypothèses'!$D$19),0)</f>
      </c>
      <c r="AY42" s="2" t="e">
        <f>IF(AY40=1,MIN(1,AY41/'Hypothèses'!$D$19),0)</f>
      </c>
      <c r="AZ42" s="2" t="e">
        <f>IF(AZ40=1,MIN(1,AZ41/'Hypothèses'!$D$19),0)</f>
      </c>
      <c r="BA42" s="2" t="e">
        <f>IF(BA40=1,MIN(1,BA41/'Hypothèses'!$D$19),0)</f>
      </c>
      <c r="BB42" s="2" t="e">
        <f>IF(BB40=1,MIN(1,BB41/'Hypothèses'!$D$19),0)</f>
      </c>
      <c r="BC42" s="2" t="e">
        <f>IF(BC40=1,MIN(1,BC41/'Hypothèses'!$D$19),0)</f>
      </c>
      <c r="BD42" s="2" t="e">
        <f>IF(BD40=1,MIN(1,BD41/'Hypothèses'!$D$19),0)</f>
      </c>
      <c r="BE42" s="2" t="e">
        <f>IF(BE40=1,MIN(1,BE41/'Hypothèses'!$D$19),0)</f>
      </c>
      <c r="BF42" s="2" t="e">
        <f>IF(BF40=1,MIN(1,BF41/'Hypothèses'!$D$19),0)</f>
      </c>
      <c r="BG42" s="2" t="e">
        <f>IF(BG40=1,MIN(1,BG41/'Hypothèses'!$D$19),0)</f>
      </c>
      <c r="BH42" s="2" t="e">
        <f>IF(BH40=1,MIN(1,BH41/'Hypothèses'!$D$19),0)</f>
      </c>
      <c r="BI42" s="2" t="e">
        <f>IF(BI40=1,MIN(1,BI41/'Hypothèses'!$D$19),0)</f>
      </c>
      <c r="BJ42" s="2" t="e">
        <f>IF(BJ40=1,MIN(1,BJ41/'Hypothèses'!$D$19),0)</f>
      </c>
      <c r="BK42" s="2" t="e">
        <f>IF(BK40=1,MIN(1,BK41/'Hypothèses'!$D$19),0)</f>
      </c>
      <c r="BL42" s="2" t="e">
        <f>AVERAGE(D42:O42)</f>
      </c>
      <c r="BM42" s="2" t="e">
        <f>AVERAGE(P42:AA42)</f>
      </c>
      <c r="BN42" s="2" t="e">
        <f>AVERAGE(AB42:AM42)</f>
      </c>
      <c r="BO42" s="2" t="e">
        <f>AVERAGE(AN42:AY42)</f>
      </c>
      <c r="BP42" s="2" t="e">
        <f>AVERAGE(AZ42:BK42)</f>
      </c>
    </row>
    <row r="43">
      <c r="A43" t="str">
        <v>Commercial salarié n°12 en poste (1/0)</v>
      </c>
      <c r="B43" t="str">
        <v>0/1</v>
      </c>
      <c r="C43" s="3">
        <v>0</v>
      </c>
      <c r="D43" s="3" t="e">
        <f>IF(1&gt;='Hypothèses'!$D$38,1,0)</f>
      </c>
      <c r="E43" s="3" t="e">
        <f>IF(2&gt;='Hypothèses'!$D$38,1,0)</f>
      </c>
      <c r="F43" s="3" t="e">
        <f>IF(3&gt;='Hypothèses'!$D$38,1,0)</f>
      </c>
      <c r="G43" s="3" t="e">
        <f>IF(4&gt;='Hypothèses'!$D$38,1,0)</f>
      </c>
      <c r="H43" s="3" t="e">
        <f>IF(5&gt;='Hypothèses'!$D$38,1,0)</f>
      </c>
      <c r="I43" s="3" t="e">
        <f>IF(6&gt;='Hypothèses'!$D$38,1,0)</f>
      </c>
      <c r="J43" s="3" t="e">
        <f>IF(7&gt;='Hypothèses'!$D$38,1,0)</f>
      </c>
      <c r="K43" s="3" t="e">
        <f>IF(8&gt;='Hypothèses'!$D$38,1,0)</f>
      </c>
      <c r="L43" s="3" t="e">
        <f>IF(9&gt;='Hypothèses'!$D$38,1,0)</f>
      </c>
      <c r="M43" s="3" t="e">
        <f>IF(10&gt;='Hypothèses'!$D$38,1,0)</f>
      </c>
      <c r="N43" s="3" t="e">
        <f>IF(11&gt;='Hypothèses'!$D$38,1,0)</f>
      </c>
      <c r="O43" s="3" t="e">
        <f>IF(12&gt;='Hypothèses'!$D$38,1,0)</f>
      </c>
      <c r="P43" s="3" t="e">
        <f>IF(13&gt;='Hypothèses'!$D$38,1,0)</f>
      </c>
      <c r="Q43" s="3" t="e">
        <f>IF(14&gt;='Hypothèses'!$D$38,1,0)</f>
      </c>
      <c r="R43" s="3" t="e">
        <f>IF(15&gt;='Hypothèses'!$D$38,1,0)</f>
      </c>
      <c r="S43" s="3" t="e">
        <f>IF(16&gt;='Hypothèses'!$D$38,1,0)</f>
      </c>
      <c r="T43" s="3" t="e">
        <f>IF(17&gt;='Hypothèses'!$D$38,1,0)</f>
      </c>
      <c r="U43" s="3" t="e">
        <f>IF(18&gt;='Hypothèses'!$D$38,1,0)</f>
      </c>
      <c r="V43" s="3" t="e">
        <f>IF(19&gt;='Hypothèses'!$D$38,1,0)</f>
      </c>
      <c r="W43" s="3" t="e">
        <f>IF(20&gt;='Hypothèses'!$D$38,1,0)</f>
      </c>
      <c r="X43" s="3" t="e">
        <f>IF(21&gt;='Hypothèses'!$D$38,1,0)</f>
      </c>
      <c r="Y43" s="3" t="e">
        <f>IF(22&gt;='Hypothèses'!$D$38,1,0)</f>
      </c>
      <c r="Z43" s="3" t="e">
        <f>IF(23&gt;='Hypothèses'!$D$38,1,0)</f>
      </c>
      <c r="AA43" s="3" t="e">
        <f>IF(24&gt;='Hypothèses'!$D$38,1,0)</f>
      </c>
      <c r="AB43" s="3" t="e">
        <f>IF(25&gt;='Hypothèses'!$D$38,1,0)</f>
      </c>
      <c r="AC43" s="3" t="e">
        <f>IF(26&gt;='Hypothèses'!$D$38,1,0)</f>
      </c>
      <c r="AD43" s="3" t="e">
        <f>IF(27&gt;='Hypothèses'!$D$38,1,0)</f>
      </c>
      <c r="AE43" s="3" t="e">
        <f>IF(28&gt;='Hypothèses'!$D$38,1,0)</f>
      </c>
      <c r="AF43" s="3" t="e">
        <f>IF(29&gt;='Hypothèses'!$D$38,1,0)</f>
      </c>
      <c r="AG43" s="3" t="e">
        <f>IF(30&gt;='Hypothèses'!$D$38,1,0)</f>
      </c>
      <c r="AH43" s="3" t="e">
        <f>IF(31&gt;='Hypothèses'!$D$38,1,0)</f>
      </c>
      <c r="AI43" s="3" t="e">
        <f>IF(32&gt;='Hypothèses'!$D$38,1,0)</f>
      </c>
      <c r="AJ43" s="3" t="e">
        <f>IF(33&gt;='Hypothèses'!$D$38,1,0)</f>
      </c>
      <c r="AK43" s="3" t="e">
        <f>IF(34&gt;='Hypothèses'!$D$38,1,0)</f>
      </c>
      <c r="AL43" s="3" t="e">
        <f>IF(35&gt;='Hypothèses'!$D$38,1,0)</f>
      </c>
      <c r="AM43" s="3" t="e">
        <f>IF(36&gt;='Hypothèses'!$D$38,1,0)</f>
      </c>
      <c r="AN43" s="3" t="e">
        <f>IF(37&gt;='Hypothèses'!$D$38,1,0)</f>
      </c>
      <c r="AO43" s="3" t="e">
        <f>IF(38&gt;='Hypothèses'!$D$38,1,0)</f>
      </c>
      <c r="AP43" s="3" t="e">
        <f>IF(39&gt;='Hypothèses'!$D$38,1,0)</f>
      </c>
      <c r="AQ43" s="3" t="e">
        <f>IF(40&gt;='Hypothèses'!$D$38,1,0)</f>
      </c>
      <c r="AR43" s="3" t="e">
        <f>IF(41&gt;='Hypothèses'!$D$38,1,0)</f>
      </c>
      <c r="AS43" s="3" t="e">
        <f>IF(42&gt;='Hypothèses'!$D$38,1,0)</f>
      </c>
      <c r="AT43" s="3" t="e">
        <f>IF(43&gt;='Hypothèses'!$D$38,1,0)</f>
      </c>
      <c r="AU43" s="3" t="e">
        <f>IF(44&gt;='Hypothèses'!$D$38,1,0)</f>
      </c>
      <c r="AV43" s="3" t="e">
        <f>IF(45&gt;='Hypothèses'!$D$38,1,0)</f>
      </c>
      <c r="AW43" s="3" t="e">
        <f>IF(46&gt;='Hypothèses'!$D$38,1,0)</f>
      </c>
      <c r="AX43" s="3" t="e">
        <f>IF(47&gt;='Hypothèses'!$D$38,1,0)</f>
      </c>
      <c r="AY43" s="3" t="e">
        <f>IF(48&gt;='Hypothèses'!$D$38,1,0)</f>
      </c>
      <c r="AZ43" s="3" t="e">
        <f>IF(49&gt;='Hypothèses'!$D$38,1,0)</f>
      </c>
      <c r="BA43" s="3" t="e">
        <f>IF(50&gt;='Hypothèses'!$D$38,1,0)</f>
      </c>
      <c r="BB43" s="3" t="e">
        <f>IF(51&gt;='Hypothèses'!$D$38,1,0)</f>
      </c>
      <c r="BC43" s="3" t="e">
        <f>IF(52&gt;='Hypothèses'!$D$38,1,0)</f>
      </c>
      <c r="BD43" s="3" t="e">
        <f>IF(53&gt;='Hypothèses'!$D$38,1,0)</f>
      </c>
      <c r="BE43" s="3" t="e">
        <f>IF(54&gt;='Hypothèses'!$D$38,1,0)</f>
      </c>
      <c r="BF43" s="3" t="e">
        <f>IF(55&gt;='Hypothèses'!$D$38,1,0)</f>
      </c>
      <c r="BG43" s="3" t="e">
        <f>IF(56&gt;='Hypothèses'!$D$38,1,0)</f>
      </c>
      <c r="BH43" s="3" t="e">
        <f>IF(57&gt;='Hypothèses'!$D$38,1,0)</f>
      </c>
      <c r="BI43" s="3" t="e">
        <f>IF(58&gt;='Hypothèses'!$D$38,1,0)</f>
      </c>
      <c r="BJ43" s="3" t="e">
        <f>IF(59&gt;='Hypothèses'!$D$38,1,0)</f>
      </c>
      <c r="BK43" s="3" t="e">
        <f>IF(60&gt;='Hypothèses'!$D$38,1,0)</f>
      </c>
      <c r="BL43" s="3" t="e">
        <f>O43</f>
      </c>
      <c r="BM43" s="3" t="e">
        <f>AA43</f>
      </c>
      <c r="BN43" s="3" t="e">
        <f>AM43</f>
      </c>
      <c r="BO43" s="3" t="e">
        <f>AY43</f>
      </c>
      <c r="BP43" s="3" t="e">
        <f>BK43</f>
      </c>
    </row>
    <row r="44">
      <c r="A44" t="str">
        <v>Commercial salarié n°12 — ancienneté</v>
      </c>
      <c r="B44" t="str">
        <v>mois</v>
      </c>
      <c r="C44" s="3">
        <v>0</v>
      </c>
      <c r="D44" s="3" t="e">
        <f>IF(D43=1,C44+1,0)</f>
      </c>
      <c r="E44" s="3" t="e">
        <f>IF(E43=1,D44+1,0)</f>
      </c>
      <c r="F44" s="3" t="e">
        <f>IF(F43=1,E44+1,0)</f>
      </c>
      <c r="G44" s="3" t="e">
        <f>IF(G43=1,F44+1,0)</f>
      </c>
      <c r="H44" s="3" t="e">
        <f>IF(H43=1,G44+1,0)</f>
      </c>
      <c r="I44" s="3" t="e">
        <f>IF(I43=1,H44+1,0)</f>
      </c>
      <c r="J44" s="3" t="e">
        <f>IF(J43=1,I44+1,0)</f>
      </c>
      <c r="K44" s="3" t="e">
        <f>IF(K43=1,J44+1,0)</f>
      </c>
      <c r="L44" s="3" t="e">
        <f>IF(L43=1,K44+1,0)</f>
      </c>
      <c r="M44" s="3" t="e">
        <f>IF(M43=1,L44+1,0)</f>
      </c>
      <c r="N44" s="3" t="e">
        <f>IF(N43=1,M44+1,0)</f>
      </c>
      <c r="O44" s="3" t="e">
        <f>IF(O43=1,N44+1,0)</f>
      </c>
      <c r="P44" s="3" t="e">
        <f>IF(P43=1,O44+1,0)</f>
      </c>
      <c r="Q44" s="3" t="e">
        <f>IF(Q43=1,P44+1,0)</f>
      </c>
      <c r="R44" s="3" t="e">
        <f>IF(R43=1,Q44+1,0)</f>
      </c>
      <c r="S44" s="3" t="e">
        <f>IF(S43=1,R44+1,0)</f>
      </c>
      <c r="T44" s="3" t="e">
        <f>IF(T43=1,S44+1,0)</f>
      </c>
      <c r="U44" s="3" t="e">
        <f>IF(U43=1,T44+1,0)</f>
      </c>
      <c r="V44" s="3" t="e">
        <f>IF(V43=1,U44+1,0)</f>
      </c>
      <c r="W44" s="3" t="e">
        <f>IF(W43=1,V44+1,0)</f>
      </c>
      <c r="X44" s="3" t="e">
        <f>IF(X43=1,W44+1,0)</f>
      </c>
      <c r="Y44" s="3" t="e">
        <f>IF(Y43=1,X44+1,0)</f>
      </c>
      <c r="Z44" s="3" t="e">
        <f>IF(Z43=1,Y44+1,0)</f>
      </c>
      <c r="AA44" s="3" t="e">
        <f>IF(AA43=1,Z44+1,0)</f>
      </c>
      <c r="AB44" s="3" t="e">
        <f>IF(AB43=1,AA44+1,0)</f>
      </c>
      <c r="AC44" s="3" t="e">
        <f>IF(AC43=1,AB44+1,0)</f>
      </c>
      <c r="AD44" s="3" t="e">
        <f>IF(AD43=1,AC44+1,0)</f>
      </c>
      <c r="AE44" s="3" t="e">
        <f>IF(AE43=1,AD44+1,0)</f>
      </c>
      <c r="AF44" s="3" t="e">
        <f>IF(AF43=1,AE44+1,0)</f>
      </c>
      <c r="AG44" s="3" t="e">
        <f>IF(AG43=1,AF44+1,0)</f>
      </c>
      <c r="AH44" s="3" t="e">
        <f>IF(AH43=1,AG44+1,0)</f>
      </c>
      <c r="AI44" s="3" t="e">
        <f>IF(AI43=1,AH44+1,0)</f>
      </c>
      <c r="AJ44" s="3" t="e">
        <f>IF(AJ43=1,AI44+1,0)</f>
      </c>
      <c r="AK44" s="3" t="e">
        <f>IF(AK43=1,AJ44+1,0)</f>
      </c>
      <c r="AL44" s="3" t="e">
        <f>IF(AL43=1,AK44+1,0)</f>
      </c>
      <c r="AM44" s="3" t="e">
        <f>IF(AM43=1,AL44+1,0)</f>
      </c>
      <c r="AN44" s="3" t="e">
        <f>IF(AN43=1,AM44+1,0)</f>
      </c>
      <c r="AO44" s="3" t="e">
        <f>IF(AO43=1,AN44+1,0)</f>
      </c>
      <c r="AP44" s="3" t="e">
        <f>IF(AP43=1,AO44+1,0)</f>
      </c>
      <c r="AQ44" s="3" t="e">
        <f>IF(AQ43=1,AP44+1,0)</f>
      </c>
      <c r="AR44" s="3" t="e">
        <f>IF(AR43=1,AQ44+1,0)</f>
      </c>
      <c r="AS44" s="3" t="e">
        <f>IF(AS43=1,AR44+1,0)</f>
      </c>
      <c r="AT44" s="3" t="e">
        <f>IF(AT43=1,AS44+1,0)</f>
      </c>
      <c r="AU44" s="3" t="e">
        <f>IF(AU43=1,AT44+1,0)</f>
      </c>
      <c r="AV44" s="3" t="e">
        <f>IF(AV43=1,AU44+1,0)</f>
      </c>
      <c r="AW44" s="3" t="e">
        <f>IF(AW43=1,AV44+1,0)</f>
      </c>
      <c r="AX44" s="3" t="e">
        <f>IF(AX43=1,AW44+1,0)</f>
      </c>
      <c r="AY44" s="3" t="e">
        <f>IF(AY43=1,AX44+1,0)</f>
      </c>
      <c r="AZ44" s="3" t="e">
        <f>IF(AZ43=1,AY44+1,0)</f>
      </c>
      <c r="BA44" s="3" t="e">
        <f>IF(BA43=1,AZ44+1,0)</f>
      </c>
      <c r="BB44" s="3" t="e">
        <f>IF(BB43=1,BA44+1,0)</f>
      </c>
      <c r="BC44" s="3" t="e">
        <f>IF(BC43=1,BB44+1,0)</f>
      </c>
      <c r="BD44" s="3" t="e">
        <f>IF(BD43=1,BC44+1,0)</f>
      </c>
      <c r="BE44" s="3" t="e">
        <f>IF(BE43=1,BD44+1,0)</f>
      </c>
      <c r="BF44" s="3" t="e">
        <f>IF(BF43=1,BE44+1,0)</f>
      </c>
      <c r="BG44" s="3" t="e">
        <f>IF(BG43=1,BF44+1,0)</f>
      </c>
      <c r="BH44" s="3" t="e">
        <f>IF(BH43=1,BG44+1,0)</f>
      </c>
      <c r="BI44" s="3" t="e">
        <f>IF(BI43=1,BH44+1,0)</f>
      </c>
      <c r="BJ44" s="3" t="e">
        <f>IF(BJ43=1,BI44+1,0)</f>
      </c>
      <c r="BK44" s="3" t="e">
        <f>IF(BK43=1,BJ44+1,0)</f>
      </c>
      <c r="BL44" s="3" t="e">
        <f>O44</f>
      </c>
      <c r="BM44" s="3" t="e">
        <f>AA44</f>
      </c>
      <c r="BN44" s="3" t="e">
        <f>AM44</f>
      </c>
      <c r="BO44" s="3" t="e">
        <f>AY44</f>
      </c>
      <c r="BP44" s="3" t="e">
        <f>BK44</f>
      </c>
    </row>
    <row r="45">
      <c r="A45" t="str">
        <v>Commercial salarié n°12 — productivité (ramp)</v>
      </c>
      <c r="B45" t="str">
        <v>%</v>
      </c>
      <c r="C45" s="2">
        <v>0</v>
      </c>
      <c r="D45" s="2" t="e">
        <f>IF(D43=1,MIN(1,D44/'Hypothèses'!$D$19),0)</f>
      </c>
      <c r="E45" s="2" t="e">
        <f>IF(E43=1,MIN(1,E44/'Hypothèses'!$D$19),0)</f>
      </c>
      <c r="F45" s="2" t="e">
        <f>IF(F43=1,MIN(1,F44/'Hypothèses'!$D$19),0)</f>
      </c>
      <c r="G45" s="2" t="e">
        <f>IF(G43=1,MIN(1,G44/'Hypothèses'!$D$19),0)</f>
      </c>
      <c r="H45" s="2" t="e">
        <f>IF(H43=1,MIN(1,H44/'Hypothèses'!$D$19),0)</f>
      </c>
      <c r="I45" s="2" t="e">
        <f>IF(I43=1,MIN(1,I44/'Hypothèses'!$D$19),0)</f>
      </c>
      <c r="J45" s="2" t="e">
        <f>IF(J43=1,MIN(1,J44/'Hypothèses'!$D$19),0)</f>
      </c>
      <c r="K45" s="2" t="e">
        <f>IF(K43=1,MIN(1,K44/'Hypothèses'!$D$19),0)</f>
      </c>
      <c r="L45" s="2" t="e">
        <f>IF(L43=1,MIN(1,L44/'Hypothèses'!$D$19),0)</f>
      </c>
      <c r="M45" s="2" t="e">
        <f>IF(M43=1,MIN(1,M44/'Hypothèses'!$D$19),0)</f>
      </c>
      <c r="N45" s="2" t="e">
        <f>IF(N43=1,MIN(1,N44/'Hypothèses'!$D$19),0)</f>
      </c>
      <c r="O45" s="2" t="e">
        <f>IF(O43=1,MIN(1,O44/'Hypothèses'!$D$19),0)</f>
      </c>
      <c r="P45" s="2" t="e">
        <f>IF(P43=1,MIN(1,P44/'Hypothèses'!$D$19),0)</f>
      </c>
      <c r="Q45" s="2" t="e">
        <f>IF(Q43=1,MIN(1,Q44/'Hypothèses'!$D$19),0)</f>
      </c>
      <c r="R45" s="2" t="e">
        <f>IF(R43=1,MIN(1,R44/'Hypothèses'!$D$19),0)</f>
      </c>
      <c r="S45" s="2" t="e">
        <f>IF(S43=1,MIN(1,S44/'Hypothèses'!$D$19),0)</f>
      </c>
      <c r="T45" s="2" t="e">
        <f>IF(T43=1,MIN(1,T44/'Hypothèses'!$D$19),0)</f>
      </c>
      <c r="U45" s="2" t="e">
        <f>IF(U43=1,MIN(1,U44/'Hypothèses'!$D$19),0)</f>
      </c>
      <c r="V45" s="2" t="e">
        <f>IF(V43=1,MIN(1,V44/'Hypothèses'!$D$19),0)</f>
      </c>
      <c r="W45" s="2" t="e">
        <f>IF(W43=1,MIN(1,W44/'Hypothèses'!$D$19),0)</f>
      </c>
      <c r="X45" s="2" t="e">
        <f>IF(X43=1,MIN(1,X44/'Hypothèses'!$D$19),0)</f>
      </c>
      <c r="Y45" s="2" t="e">
        <f>IF(Y43=1,MIN(1,Y44/'Hypothèses'!$D$19),0)</f>
      </c>
      <c r="Z45" s="2" t="e">
        <f>IF(Z43=1,MIN(1,Z44/'Hypothèses'!$D$19),0)</f>
      </c>
      <c r="AA45" s="2" t="e">
        <f>IF(AA43=1,MIN(1,AA44/'Hypothèses'!$D$19),0)</f>
      </c>
      <c r="AB45" s="2" t="e">
        <f>IF(AB43=1,MIN(1,AB44/'Hypothèses'!$D$19),0)</f>
      </c>
      <c r="AC45" s="2" t="e">
        <f>IF(AC43=1,MIN(1,AC44/'Hypothèses'!$D$19),0)</f>
      </c>
      <c r="AD45" s="2" t="e">
        <f>IF(AD43=1,MIN(1,AD44/'Hypothèses'!$D$19),0)</f>
      </c>
      <c r="AE45" s="2" t="e">
        <f>IF(AE43=1,MIN(1,AE44/'Hypothèses'!$D$19),0)</f>
      </c>
      <c r="AF45" s="2" t="e">
        <f>IF(AF43=1,MIN(1,AF44/'Hypothèses'!$D$19),0)</f>
      </c>
      <c r="AG45" s="2" t="e">
        <f>IF(AG43=1,MIN(1,AG44/'Hypothèses'!$D$19),0)</f>
      </c>
      <c r="AH45" s="2" t="e">
        <f>IF(AH43=1,MIN(1,AH44/'Hypothèses'!$D$19),0)</f>
      </c>
      <c r="AI45" s="2" t="e">
        <f>IF(AI43=1,MIN(1,AI44/'Hypothèses'!$D$19),0)</f>
      </c>
      <c r="AJ45" s="2" t="e">
        <f>IF(AJ43=1,MIN(1,AJ44/'Hypothèses'!$D$19),0)</f>
      </c>
      <c r="AK45" s="2" t="e">
        <f>IF(AK43=1,MIN(1,AK44/'Hypothèses'!$D$19),0)</f>
      </c>
      <c r="AL45" s="2" t="e">
        <f>IF(AL43=1,MIN(1,AL44/'Hypothèses'!$D$19),0)</f>
      </c>
      <c r="AM45" s="2" t="e">
        <f>IF(AM43=1,MIN(1,AM44/'Hypothèses'!$D$19),0)</f>
      </c>
      <c r="AN45" s="2" t="e">
        <f>IF(AN43=1,MIN(1,AN44/'Hypothèses'!$D$19),0)</f>
      </c>
      <c r="AO45" s="2" t="e">
        <f>IF(AO43=1,MIN(1,AO44/'Hypothèses'!$D$19),0)</f>
      </c>
      <c r="AP45" s="2" t="e">
        <f>IF(AP43=1,MIN(1,AP44/'Hypothèses'!$D$19),0)</f>
      </c>
      <c r="AQ45" s="2" t="e">
        <f>IF(AQ43=1,MIN(1,AQ44/'Hypothèses'!$D$19),0)</f>
      </c>
      <c r="AR45" s="2" t="e">
        <f>IF(AR43=1,MIN(1,AR44/'Hypothèses'!$D$19),0)</f>
      </c>
      <c r="AS45" s="2" t="e">
        <f>IF(AS43=1,MIN(1,AS44/'Hypothèses'!$D$19),0)</f>
      </c>
      <c r="AT45" s="2" t="e">
        <f>IF(AT43=1,MIN(1,AT44/'Hypothèses'!$D$19),0)</f>
      </c>
      <c r="AU45" s="2" t="e">
        <f>IF(AU43=1,MIN(1,AU44/'Hypothèses'!$D$19),0)</f>
      </c>
      <c r="AV45" s="2" t="e">
        <f>IF(AV43=1,MIN(1,AV44/'Hypothèses'!$D$19),0)</f>
      </c>
      <c r="AW45" s="2" t="e">
        <f>IF(AW43=1,MIN(1,AW44/'Hypothèses'!$D$19),0)</f>
      </c>
      <c r="AX45" s="2" t="e">
        <f>IF(AX43=1,MIN(1,AX44/'Hypothèses'!$D$19),0)</f>
      </c>
      <c r="AY45" s="2" t="e">
        <f>IF(AY43=1,MIN(1,AY44/'Hypothèses'!$D$19),0)</f>
      </c>
      <c r="AZ45" s="2" t="e">
        <f>IF(AZ43=1,MIN(1,AZ44/'Hypothèses'!$D$19),0)</f>
      </c>
      <c r="BA45" s="2" t="e">
        <f>IF(BA43=1,MIN(1,BA44/'Hypothèses'!$D$19),0)</f>
      </c>
      <c r="BB45" s="2" t="e">
        <f>IF(BB43=1,MIN(1,BB44/'Hypothèses'!$D$19),0)</f>
      </c>
      <c r="BC45" s="2" t="e">
        <f>IF(BC43=1,MIN(1,BC44/'Hypothèses'!$D$19),0)</f>
      </c>
      <c r="BD45" s="2" t="e">
        <f>IF(BD43=1,MIN(1,BD44/'Hypothèses'!$D$19),0)</f>
      </c>
      <c r="BE45" s="2" t="e">
        <f>IF(BE43=1,MIN(1,BE44/'Hypothèses'!$D$19),0)</f>
      </c>
      <c r="BF45" s="2" t="e">
        <f>IF(BF43=1,MIN(1,BF44/'Hypothèses'!$D$19),0)</f>
      </c>
      <c r="BG45" s="2" t="e">
        <f>IF(BG43=1,MIN(1,BG44/'Hypothèses'!$D$19),0)</f>
      </c>
      <c r="BH45" s="2" t="e">
        <f>IF(BH43=1,MIN(1,BH44/'Hypothèses'!$D$19),0)</f>
      </c>
      <c r="BI45" s="2" t="e">
        <f>IF(BI43=1,MIN(1,BI44/'Hypothèses'!$D$19),0)</f>
      </c>
      <c r="BJ45" s="2" t="e">
        <f>IF(BJ43=1,MIN(1,BJ44/'Hypothèses'!$D$19),0)</f>
      </c>
      <c r="BK45" s="2" t="e">
        <f>IF(BK43=1,MIN(1,BK44/'Hypothèses'!$D$19),0)</f>
      </c>
      <c r="BL45" s="2" t="e">
        <f>AVERAGE(D45:O45)</f>
      </c>
      <c r="BM45" s="2" t="e">
        <f>AVERAGE(P45:AA45)</f>
      </c>
      <c r="BN45" s="2" t="e">
        <f>AVERAGE(AB45:AM45)</f>
      </c>
      <c r="BO45" s="2" t="e">
        <f>AVERAGE(AN45:AY45)</f>
      </c>
      <c r="BP45" s="2" t="e">
        <f>AVERAGE(AZ45:BK45)</f>
      </c>
    </row>
    <row r="46">
      <c r="A46" t="str">
        <v>Commercial salarié n°13 en poste (1/0)</v>
      </c>
      <c r="B46" t="str">
        <v>0/1</v>
      </c>
      <c r="C46" s="3">
        <v>0</v>
      </c>
      <c r="D46" s="3" t="e">
        <f>IF(1&gt;='Hypothèses'!$D$39,1,0)</f>
      </c>
      <c r="E46" s="3" t="e">
        <f>IF(2&gt;='Hypothèses'!$D$39,1,0)</f>
      </c>
      <c r="F46" s="3" t="e">
        <f>IF(3&gt;='Hypothèses'!$D$39,1,0)</f>
      </c>
      <c r="G46" s="3" t="e">
        <f>IF(4&gt;='Hypothèses'!$D$39,1,0)</f>
      </c>
      <c r="H46" s="3" t="e">
        <f>IF(5&gt;='Hypothèses'!$D$39,1,0)</f>
      </c>
      <c r="I46" s="3" t="e">
        <f>IF(6&gt;='Hypothèses'!$D$39,1,0)</f>
      </c>
      <c r="J46" s="3" t="e">
        <f>IF(7&gt;='Hypothèses'!$D$39,1,0)</f>
      </c>
      <c r="K46" s="3" t="e">
        <f>IF(8&gt;='Hypothèses'!$D$39,1,0)</f>
      </c>
      <c r="L46" s="3" t="e">
        <f>IF(9&gt;='Hypothèses'!$D$39,1,0)</f>
      </c>
      <c r="M46" s="3" t="e">
        <f>IF(10&gt;='Hypothèses'!$D$39,1,0)</f>
      </c>
      <c r="N46" s="3" t="e">
        <f>IF(11&gt;='Hypothèses'!$D$39,1,0)</f>
      </c>
      <c r="O46" s="3" t="e">
        <f>IF(12&gt;='Hypothèses'!$D$39,1,0)</f>
      </c>
      <c r="P46" s="3" t="e">
        <f>IF(13&gt;='Hypothèses'!$D$39,1,0)</f>
      </c>
      <c r="Q46" s="3" t="e">
        <f>IF(14&gt;='Hypothèses'!$D$39,1,0)</f>
      </c>
      <c r="R46" s="3" t="e">
        <f>IF(15&gt;='Hypothèses'!$D$39,1,0)</f>
      </c>
      <c r="S46" s="3" t="e">
        <f>IF(16&gt;='Hypothèses'!$D$39,1,0)</f>
      </c>
      <c r="T46" s="3" t="e">
        <f>IF(17&gt;='Hypothèses'!$D$39,1,0)</f>
      </c>
      <c r="U46" s="3" t="e">
        <f>IF(18&gt;='Hypothèses'!$D$39,1,0)</f>
      </c>
      <c r="V46" s="3" t="e">
        <f>IF(19&gt;='Hypothèses'!$D$39,1,0)</f>
      </c>
      <c r="W46" s="3" t="e">
        <f>IF(20&gt;='Hypothèses'!$D$39,1,0)</f>
      </c>
      <c r="X46" s="3" t="e">
        <f>IF(21&gt;='Hypothèses'!$D$39,1,0)</f>
      </c>
      <c r="Y46" s="3" t="e">
        <f>IF(22&gt;='Hypothèses'!$D$39,1,0)</f>
      </c>
      <c r="Z46" s="3" t="e">
        <f>IF(23&gt;='Hypothèses'!$D$39,1,0)</f>
      </c>
      <c r="AA46" s="3" t="e">
        <f>IF(24&gt;='Hypothèses'!$D$39,1,0)</f>
      </c>
      <c r="AB46" s="3" t="e">
        <f>IF(25&gt;='Hypothèses'!$D$39,1,0)</f>
      </c>
      <c r="AC46" s="3" t="e">
        <f>IF(26&gt;='Hypothèses'!$D$39,1,0)</f>
      </c>
      <c r="AD46" s="3" t="e">
        <f>IF(27&gt;='Hypothèses'!$D$39,1,0)</f>
      </c>
      <c r="AE46" s="3" t="e">
        <f>IF(28&gt;='Hypothèses'!$D$39,1,0)</f>
      </c>
      <c r="AF46" s="3" t="e">
        <f>IF(29&gt;='Hypothèses'!$D$39,1,0)</f>
      </c>
      <c r="AG46" s="3" t="e">
        <f>IF(30&gt;='Hypothèses'!$D$39,1,0)</f>
      </c>
      <c r="AH46" s="3" t="e">
        <f>IF(31&gt;='Hypothèses'!$D$39,1,0)</f>
      </c>
      <c r="AI46" s="3" t="e">
        <f>IF(32&gt;='Hypothèses'!$D$39,1,0)</f>
      </c>
      <c r="AJ46" s="3" t="e">
        <f>IF(33&gt;='Hypothèses'!$D$39,1,0)</f>
      </c>
      <c r="AK46" s="3" t="e">
        <f>IF(34&gt;='Hypothèses'!$D$39,1,0)</f>
      </c>
      <c r="AL46" s="3" t="e">
        <f>IF(35&gt;='Hypothèses'!$D$39,1,0)</f>
      </c>
      <c r="AM46" s="3" t="e">
        <f>IF(36&gt;='Hypothèses'!$D$39,1,0)</f>
      </c>
      <c r="AN46" s="3" t="e">
        <f>IF(37&gt;='Hypothèses'!$D$39,1,0)</f>
      </c>
      <c r="AO46" s="3" t="e">
        <f>IF(38&gt;='Hypothèses'!$D$39,1,0)</f>
      </c>
      <c r="AP46" s="3" t="e">
        <f>IF(39&gt;='Hypothèses'!$D$39,1,0)</f>
      </c>
      <c r="AQ46" s="3" t="e">
        <f>IF(40&gt;='Hypothèses'!$D$39,1,0)</f>
      </c>
      <c r="AR46" s="3" t="e">
        <f>IF(41&gt;='Hypothèses'!$D$39,1,0)</f>
      </c>
      <c r="AS46" s="3" t="e">
        <f>IF(42&gt;='Hypothèses'!$D$39,1,0)</f>
      </c>
      <c r="AT46" s="3" t="e">
        <f>IF(43&gt;='Hypothèses'!$D$39,1,0)</f>
      </c>
      <c r="AU46" s="3" t="e">
        <f>IF(44&gt;='Hypothèses'!$D$39,1,0)</f>
      </c>
      <c r="AV46" s="3" t="e">
        <f>IF(45&gt;='Hypothèses'!$D$39,1,0)</f>
      </c>
      <c r="AW46" s="3" t="e">
        <f>IF(46&gt;='Hypothèses'!$D$39,1,0)</f>
      </c>
      <c r="AX46" s="3" t="e">
        <f>IF(47&gt;='Hypothèses'!$D$39,1,0)</f>
      </c>
      <c r="AY46" s="3" t="e">
        <f>IF(48&gt;='Hypothèses'!$D$39,1,0)</f>
      </c>
      <c r="AZ46" s="3" t="e">
        <f>IF(49&gt;='Hypothèses'!$D$39,1,0)</f>
      </c>
      <c r="BA46" s="3" t="e">
        <f>IF(50&gt;='Hypothèses'!$D$39,1,0)</f>
      </c>
      <c r="BB46" s="3" t="e">
        <f>IF(51&gt;='Hypothèses'!$D$39,1,0)</f>
      </c>
      <c r="BC46" s="3" t="e">
        <f>IF(52&gt;='Hypothèses'!$D$39,1,0)</f>
      </c>
      <c r="BD46" s="3" t="e">
        <f>IF(53&gt;='Hypothèses'!$D$39,1,0)</f>
      </c>
      <c r="BE46" s="3" t="e">
        <f>IF(54&gt;='Hypothèses'!$D$39,1,0)</f>
      </c>
      <c r="BF46" s="3" t="e">
        <f>IF(55&gt;='Hypothèses'!$D$39,1,0)</f>
      </c>
      <c r="BG46" s="3" t="e">
        <f>IF(56&gt;='Hypothèses'!$D$39,1,0)</f>
      </c>
      <c r="BH46" s="3" t="e">
        <f>IF(57&gt;='Hypothèses'!$D$39,1,0)</f>
      </c>
      <c r="BI46" s="3" t="e">
        <f>IF(58&gt;='Hypothèses'!$D$39,1,0)</f>
      </c>
      <c r="BJ46" s="3" t="e">
        <f>IF(59&gt;='Hypothèses'!$D$39,1,0)</f>
      </c>
      <c r="BK46" s="3" t="e">
        <f>IF(60&gt;='Hypothèses'!$D$39,1,0)</f>
      </c>
      <c r="BL46" s="3" t="e">
        <f>O46</f>
      </c>
      <c r="BM46" s="3" t="e">
        <f>AA46</f>
      </c>
      <c r="BN46" s="3" t="e">
        <f>AM46</f>
      </c>
      <c r="BO46" s="3" t="e">
        <f>AY46</f>
      </c>
      <c r="BP46" s="3" t="e">
        <f>BK46</f>
      </c>
    </row>
    <row r="47">
      <c r="A47" t="str">
        <v>Commercial salarié n°13 — ancienneté</v>
      </c>
      <c r="B47" t="str">
        <v>mois</v>
      </c>
      <c r="C47" s="3">
        <v>0</v>
      </c>
      <c r="D47" s="3" t="e">
        <f>IF(D46=1,C47+1,0)</f>
      </c>
      <c r="E47" s="3" t="e">
        <f>IF(E46=1,D47+1,0)</f>
      </c>
      <c r="F47" s="3" t="e">
        <f>IF(F46=1,E47+1,0)</f>
      </c>
      <c r="G47" s="3" t="e">
        <f>IF(G46=1,F47+1,0)</f>
      </c>
      <c r="H47" s="3" t="e">
        <f>IF(H46=1,G47+1,0)</f>
      </c>
      <c r="I47" s="3" t="e">
        <f>IF(I46=1,H47+1,0)</f>
      </c>
      <c r="J47" s="3" t="e">
        <f>IF(J46=1,I47+1,0)</f>
      </c>
      <c r="K47" s="3" t="e">
        <f>IF(K46=1,J47+1,0)</f>
      </c>
      <c r="L47" s="3" t="e">
        <f>IF(L46=1,K47+1,0)</f>
      </c>
      <c r="M47" s="3" t="e">
        <f>IF(M46=1,L47+1,0)</f>
      </c>
      <c r="N47" s="3" t="e">
        <f>IF(N46=1,M47+1,0)</f>
      </c>
      <c r="O47" s="3" t="e">
        <f>IF(O46=1,N47+1,0)</f>
      </c>
      <c r="P47" s="3" t="e">
        <f>IF(P46=1,O47+1,0)</f>
      </c>
      <c r="Q47" s="3" t="e">
        <f>IF(Q46=1,P47+1,0)</f>
      </c>
      <c r="R47" s="3" t="e">
        <f>IF(R46=1,Q47+1,0)</f>
      </c>
      <c r="S47" s="3" t="e">
        <f>IF(S46=1,R47+1,0)</f>
      </c>
      <c r="T47" s="3" t="e">
        <f>IF(T46=1,S47+1,0)</f>
      </c>
      <c r="U47" s="3" t="e">
        <f>IF(U46=1,T47+1,0)</f>
      </c>
      <c r="V47" s="3" t="e">
        <f>IF(V46=1,U47+1,0)</f>
      </c>
      <c r="W47" s="3" t="e">
        <f>IF(W46=1,V47+1,0)</f>
      </c>
      <c r="X47" s="3" t="e">
        <f>IF(X46=1,W47+1,0)</f>
      </c>
      <c r="Y47" s="3" t="e">
        <f>IF(Y46=1,X47+1,0)</f>
      </c>
      <c r="Z47" s="3" t="e">
        <f>IF(Z46=1,Y47+1,0)</f>
      </c>
      <c r="AA47" s="3" t="e">
        <f>IF(AA46=1,Z47+1,0)</f>
      </c>
      <c r="AB47" s="3" t="e">
        <f>IF(AB46=1,AA47+1,0)</f>
      </c>
      <c r="AC47" s="3" t="e">
        <f>IF(AC46=1,AB47+1,0)</f>
      </c>
      <c r="AD47" s="3" t="e">
        <f>IF(AD46=1,AC47+1,0)</f>
      </c>
      <c r="AE47" s="3" t="e">
        <f>IF(AE46=1,AD47+1,0)</f>
      </c>
      <c r="AF47" s="3" t="e">
        <f>IF(AF46=1,AE47+1,0)</f>
      </c>
      <c r="AG47" s="3" t="e">
        <f>IF(AG46=1,AF47+1,0)</f>
      </c>
      <c r="AH47" s="3" t="e">
        <f>IF(AH46=1,AG47+1,0)</f>
      </c>
      <c r="AI47" s="3" t="e">
        <f>IF(AI46=1,AH47+1,0)</f>
      </c>
      <c r="AJ47" s="3" t="e">
        <f>IF(AJ46=1,AI47+1,0)</f>
      </c>
      <c r="AK47" s="3" t="e">
        <f>IF(AK46=1,AJ47+1,0)</f>
      </c>
      <c r="AL47" s="3" t="e">
        <f>IF(AL46=1,AK47+1,0)</f>
      </c>
      <c r="AM47" s="3" t="e">
        <f>IF(AM46=1,AL47+1,0)</f>
      </c>
      <c r="AN47" s="3" t="e">
        <f>IF(AN46=1,AM47+1,0)</f>
      </c>
      <c r="AO47" s="3" t="e">
        <f>IF(AO46=1,AN47+1,0)</f>
      </c>
      <c r="AP47" s="3" t="e">
        <f>IF(AP46=1,AO47+1,0)</f>
      </c>
      <c r="AQ47" s="3" t="e">
        <f>IF(AQ46=1,AP47+1,0)</f>
      </c>
      <c r="AR47" s="3" t="e">
        <f>IF(AR46=1,AQ47+1,0)</f>
      </c>
      <c r="AS47" s="3" t="e">
        <f>IF(AS46=1,AR47+1,0)</f>
      </c>
      <c r="AT47" s="3" t="e">
        <f>IF(AT46=1,AS47+1,0)</f>
      </c>
      <c r="AU47" s="3" t="e">
        <f>IF(AU46=1,AT47+1,0)</f>
      </c>
      <c r="AV47" s="3" t="e">
        <f>IF(AV46=1,AU47+1,0)</f>
      </c>
      <c r="AW47" s="3" t="e">
        <f>IF(AW46=1,AV47+1,0)</f>
      </c>
      <c r="AX47" s="3" t="e">
        <f>IF(AX46=1,AW47+1,0)</f>
      </c>
      <c r="AY47" s="3" t="e">
        <f>IF(AY46=1,AX47+1,0)</f>
      </c>
      <c r="AZ47" s="3" t="e">
        <f>IF(AZ46=1,AY47+1,0)</f>
      </c>
      <c r="BA47" s="3" t="e">
        <f>IF(BA46=1,AZ47+1,0)</f>
      </c>
      <c r="BB47" s="3" t="e">
        <f>IF(BB46=1,BA47+1,0)</f>
      </c>
      <c r="BC47" s="3" t="e">
        <f>IF(BC46=1,BB47+1,0)</f>
      </c>
      <c r="BD47" s="3" t="e">
        <f>IF(BD46=1,BC47+1,0)</f>
      </c>
      <c r="BE47" s="3" t="e">
        <f>IF(BE46=1,BD47+1,0)</f>
      </c>
      <c r="BF47" s="3" t="e">
        <f>IF(BF46=1,BE47+1,0)</f>
      </c>
      <c r="BG47" s="3" t="e">
        <f>IF(BG46=1,BF47+1,0)</f>
      </c>
      <c r="BH47" s="3" t="e">
        <f>IF(BH46=1,BG47+1,0)</f>
      </c>
      <c r="BI47" s="3" t="e">
        <f>IF(BI46=1,BH47+1,0)</f>
      </c>
      <c r="BJ47" s="3" t="e">
        <f>IF(BJ46=1,BI47+1,0)</f>
      </c>
      <c r="BK47" s="3" t="e">
        <f>IF(BK46=1,BJ47+1,0)</f>
      </c>
      <c r="BL47" s="3" t="e">
        <f>O47</f>
      </c>
      <c r="BM47" s="3" t="e">
        <f>AA47</f>
      </c>
      <c r="BN47" s="3" t="e">
        <f>AM47</f>
      </c>
      <c r="BO47" s="3" t="e">
        <f>AY47</f>
      </c>
      <c r="BP47" s="3" t="e">
        <f>BK47</f>
      </c>
    </row>
    <row r="48">
      <c r="A48" t="str">
        <v>Commercial salarié n°13 — productivité (ramp)</v>
      </c>
      <c r="B48" t="str">
        <v>%</v>
      </c>
      <c r="C48" s="2">
        <v>0</v>
      </c>
      <c r="D48" s="2" t="e">
        <f>IF(D46=1,MIN(1,D47/'Hypothèses'!$D$19),0)</f>
      </c>
      <c r="E48" s="2" t="e">
        <f>IF(E46=1,MIN(1,E47/'Hypothèses'!$D$19),0)</f>
      </c>
      <c r="F48" s="2" t="e">
        <f>IF(F46=1,MIN(1,F47/'Hypothèses'!$D$19),0)</f>
      </c>
      <c r="G48" s="2" t="e">
        <f>IF(G46=1,MIN(1,G47/'Hypothèses'!$D$19),0)</f>
      </c>
      <c r="H48" s="2" t="e">
        <f>IF(H46=1,MIN(1,H47/'Hypothèses'!$D$19),0)</f>
      </c>
      <c r="I48" s="2" t="e">
        <f>IF(I46=1,MIN(1,I47/'Hypothèses'!$D$19),0)</f>
      </c>
      <c r="J48" s="2" t="e">
        <f>IF(J46=1,MIN(1,J47/'Hypothèses'!$D$19),0)</f>
      </c>
      <c r="K48" s="2" t="e">
        <f>IF(K46=1,MIN(1,K47/'Hypothèses'!$D$19),0)</f>
      </c>
      <c r="L48" s="2" t="e">
        <f>IF(L46=1,MIN(1,L47/'Hypothèses'!$D$19),0)</f>
      </c>
      <c r="M48" s="2" t="e">
        <f>IF(M46=1,MIN(1,M47/'Hypothèses'!$D$19),0)</f>
      </c>
      <c r="N48" s="2" t="e">
        <f>IF(N46=1,MIN(1,N47/'Hypothèses'!$D$19),0)</f>
      </c>
      <c r="O48" s="2" t="e">
        <f>IF(O46=1,MIN(1,O47/'Hypothèses'!$D$19),0)</f>
      </c>
      <c r="P48" s="2" t="e">
        <f>IF(P46=1,MIN(1,P47/'Hypothèses'!$D$19),0)</f>
      </c>
      <c r="Q48" s="2" t="e">
        <f>IF(Q46=1,MIN(1,Q47/'Hypothèses'!$D$19),0)</f>
      </c>
      <c r="R48" s="2" t="e">
        <f>IF(R46=1,MIN(1,R47/'Hypothèses'!$D$19),0)</f>
      </c>
      <c r="S48" s="2" t="e">
        <f>IF(S46=1,MIN(1,S47/'Hypothèses'!$D$19),0)</f>
      </c>
      <c r="T48" s="2" t="e">
        <f>IF(T46=1,MIN(1,T47/'Hypothèses'!$D$19),0)</f>
      </c>
      <c r="U48" s="2" t="e">
        <f>IF(U46=1,MIN(1,U47/'Hypothèses'!$D$19),0)</f>
      </c>
      <c r="V48" s="2" t="e">
        <f>IF(V46=1,MIN(1,V47/'Hypothèses'!$D$19),0)</f>
      </c>
      <c r="W48" s="2" t="e">
        <f>IF(W46=1,MIN(1,W47/'Hypothèses'!$D$19),0)</f>
      </c>
      <c r="X48" s="2" t="e">
        <f>IF(X46=1,MIN(1,X47/'Hypothèses'!$D$19),0)</f>
      </c>
      <c r="Y48" s="2" t="e">
        <f>IF(Y46=1,MIN(1,Y47/'Hypothèses'!$D$19),0)</f>
      </c>
      <c r="Z48" s="2" t="e">
        <f>IF(Z46=1,MIN(1,Z47/'Hypothèses'!$D$19),0)</f>
      </c>
      <c r="AA48" s="2" t="e">
        <f>IF(AA46=1,MIN(1,AA47/'Hypothèses'!$D$19),0)</f>
      </c>
      <c r="AB48" s="2" t="e">
        <f>IF(AB46=1,MIN(1,AB47/'Hypothèses'!$D$19),0)</f>
      </c>
      <c r="AC48" s="2" t="e">
        <f>IF(AC46=1,MIN(1,AC47/'Hypothèses'!$D$19),0)</f>
      </c>
      <c r="AD48" s="2" t="e">
        <f>IF(AD46=1,MIN(1,AD47/'Hypothèses'!$D$19),0)</f>
      </c>
      <c r="AE48" s="2" t="e">
        <f>IF(AE46=1,MIN(1,AE47/'Hypothèses'!$D$19),0)</f>
      </c>
      <c r="AF48" s="2" t="e">
        <f>IF(AF46=1,MIN(1,AF47/'Hypothèses'!$D$19),0)</f>
      </c>
      <c r="AG48" s="2" t="e">
        <f>IF(AG46=1,MIN(1,AG47/'Hypothèses'!$D$19),0)</f>
      </c>
      <c r="AH48" s="2" t="e">
        <f>IF(AH46=1,MIN(1,AH47/'Hypothèses'!$D$19),0)</f>
      </c>
      <c r="AI48" s="2" t="e">
        <f>IF(AI46=1,MIN(1,AI47/'Hypothèses'!$D$19),0)</f>
      </c>
      <c r="AJ48" s="2" t="e">
        <f>IF(AJ46=1,MIN(1,AJ47/'Hypothèses'!$D$19),0)</f>
      </c>
      <c r="AK48" s="2" t="e">
        <f>IF(AK46=1,MIN(1,AK47/'Hypothèses'!$D$19),0)</f>
      </c>
      <c r="AL48" s="2" t="e">
        <f>IF(AL46=1,MIN(1,AL47/'Hypothèses'!$D$19),0)</f>
      </c>
      <c r="AM48" s="2" t="e">
        <f>IF(AM46=1,MIN(1,AM47/'Hypothèses'!$D$19),0)</f>
      </c>
      <c r="AN48" s="2" t="e">
        <f>IF(AN46=1,MIN(1,AN47/'Hypothèses'!$D$19),0)</f>
      </c>
      <c r="AO48" s="2" t="e">
        <f>IF(AO46=1,MIN(1,AO47/'Hypothèses'!$D$19),0)</f>
      </c>
      <c r="AP48" s="2" t="e">
        <f>IF(AP46=1,MIN(1,AP47/'Hypothèses'!$D$19),0)</f>
      </c>
      <c r="AQ48" s="2" t="e">
        <f>IF(AQ46=1,MIN(1,AQ47/'Hypothèses'!$D$19),0)</f>
      </c>
      <c r="AR48" s="2" t="e">
        <f>IF(AR46=1,MIN(1,AR47/'Hypothèses'!$D$19),0)</f>
      </c>
      <c r="AS48" s="2" t="e">
        <f>IF(AS46=1,MIN(1,AS47/'Hypothèses'!$D$19),0)</f>
      </c>
      <c r="AT48" s="2" t="e">
        <f>IF(AT46=1,MIN(1,AT47/'Hypothèses'!$D$19),0)</f>
      </c>
      <c r="AU48" s="2" t="e">
        <f>IF(AU46=1,MIN(1,AU47/'Hypothèses'!$D$19),0)</f>
      </c>
      <c r="AV48" s="2" t="e">
        <f>IF(AV46=1,MIN(1,AV47/'Hypothèses'!$D$19),0)</f>
      </c>
      <c r="AW48" s="2" t="e">
        <f>IF(AW46=1,MIN(1,AW47/'Hypothèses'!$D$19),0)</f>
      </c>
      <c r="AX48" s="2" t="e">
        <f>IF(AX46=1,MIN(1,AX47/'Hypothèses'!$D$19),0)</f>
      </c>
      <c r="AY48" s="2" t="e">
        <f>IF(AY46=1,MIN(1,AY47/'Hypothèses'!$D$19),0)</f>
      </c>
      <c r="AZ48" s="2" t="e">
        <f>IF(AZ46=1,MIN(1,AZ47/'Hypothèses'!$D$19),0)</f>
      </c>
      <c r="BA48" s="2" t="e">
        <f>IF(BA46=1,MIN(1,BA47/'Hypothèses'!$D$19),0)</f>
      </c>
      <c r="BB48" s="2" t="e">
        <f>IF(BB46=1,MIN(1,BB47/'Hypothèses'!$D$19),0)</f>
      </c>
      <c r="BC48" s="2" t="e">
        <f>IF(BC46=1,MIN(1,BC47/'Hypothèses'!$D$19),0)</f>
      </c>
      <c r="BD48" s="2" t="e">
        <f>IF(BD46=1,MIN(1,BD47/'Hypothèses'!$D$19),0)</f>
      </c>
      <c r="BE48" s="2" t="e">
        <f>IF(BE46=1,MIN(1,BE47/'Hypothèses'!$D$19),0)</f>
      </c>
      <c r="BF48" s="2" t="e">
        <f>IF(BF46=1,MIN(1,BF47/'Hypothèses'!$D$19),0)</f>
      </c>
      <c r="BG48" s="2" t="e">
        <f>IF(BG46=1,MIN(1,BG47/'Hypothèses'!$D$19),0)</f>
      </c>
      <c r="BH48" s="2" t="e">
        <f>IF(BH46=1,MIN(1,BH47/'Hypothèses'!$D$19),0)</f>
      </c>
      <c r="BI48" s="2" t="e">
        <f>IF(BI46=1,MIN(1,BI47/'Hypothèses'!$D$19),0)</f>
      </c>
      <c r="BJ48" s="2" t="e">
        <f>IF(BJ46=1,MIN(1,BJ47/'Hypothèses'!$D$19),0)</f>
      </c>
      <c r="BK48" s="2" t="e">
        <f>IF(BK46=1,MIN(1,BK47/'Hypothèses'!$D$19),0)</f>
      </c>
      <c r="BL48" s="2" t="e">
        <f>AVERAGE(D48:O48)</f>
      </c>
      <c r="BM48" s="2" t="e">
        <f>AVERAGE(P48:AA48)</f>
      </c>
      <c r="BN48" s="2" t="e">
        <f>AVERAGE(AB48:AM48)</f>
      </c>
      <c r="BO48" s="2" t="e">
        <f>AVERAGE(AN48:AY48)</f>
      </c>
      <c r="BP48" s="2" t="e">
        <f>AVERAGE(AZ48:BK48)</f>
      </c>
    </row>
    <row r="49">
      <c r="A49" t="str">
        <v>Commercial salarié n°14 en poste (1/0)</v>
      </c>
      <c r="B49" t="str">
        <v>0/1</v>
      </c>
      <c r="C49" s="3">
        <v>0</v>
      </c>
      <c r="D49" s="3" t="e">
        <f>IF(1&gt;='Hypothèses'!$D$40,1,0)</f>
      </c>
      <c r="E49" s="3" t="e">
        <f>IF(2&gt;='Hypothèses'!$D$40,1,0)</f>
      </c>
      <c r="F49" s="3" t="e">
        <f>IF(3&gt;='Hypothèses'!$D$40,1,0)</f>
      </c>
      <c r="G49" s="3" t="e">
        <f>IF(4&gt;='Hypothèses'!$D$40,1,0)</f>
      </c>
      <c r="H49" s="3" t="e">
        <f>IF(5&gt;='Hypothèses'!$D$40,1,0)</f>
      </c>
      <c r="I49" s="3" t="e">
        <f>IF(6&gt;='Hypothèses'!$D$40,1,0)</f>
      </c>
      <c r="J49" s="3" t="e">
        <f>IF(7&gt;='Hypothèses'!$D$40,1,0)</f>
      </c>
      <c r="K49" s="3" t="e">
        <f>IF(8&gt;='Hypothèses'!$D$40,1,0)</f>
      </c>
      <c r="L49" s="3" t="e">
        <f>IF(9&gt;='Hypothèses'!$D$40,1,0)</f>
      </c>
      <c r="M49" s="3" t="e">
        <f>IF(10&gt;='Hypothèses'!$D$40,1,0)</f>
      </c>
      <c r="N49" s="3" t="e">
        <f>IF(11&gt;='Hypothèses'!$D$40,1,0)</f>
      </c>
      <c r="O49" s="3" t="e">
        <f>IF(12&gt;='Hypothèses'!$D$40,1,0)</f>
      </c>
      <c r="P49" s="3" t="e">
        <f>IF(13&gt;='Hypothèses'!$D$40,1,0)</f>
      </c>
      <c r="Q49" s="3" t="e">
        <f>IF(14&gt;='Hypothèses'!$D$40,1,0)</f>
      </c>
      <c r="R49" s="3" t="e">
        <f>IF(15&gt;='Hypothèses'!$D$40,1,0)</f>
      </c>
      <c r="S49" s="3" t="e">
        <f>IF(16&gt;='Hypothèses'!$D$40,1,0)</f>
      </c>
      <c r="T49" s="3" t="e">
        <f>IF(17&gt;='Hypothèses'!$D$40,1,0)</f>
      </c>
      <c r="U49" s="3" t="e">
        <f>IF(18&gt;='Hypothèses'!$D$40,1,0)</f>
      </c>
      <c r="V49" s="3" t="e">
        <f>IF(19&gt;='Hypothèses'!$D$40,1,0)</f>
      </c>
      <c r="W49" s="3" t="e">
        <f>IF(20&gt;='Hypothèses'!$D$40,1,0)</f>
      </c>
      <c r="X49" s="3" t="e">
        <f>IF(21&gt;='Hypothèses'!$D$40,1,0)</f>
      </c>
      <c r="Y49" s="3" t="e">
        <f>IF(22&gt;='Hypothèses'!$D$40,1,0)</f>
      </c>
      <c r="Z49" s="3" t="e">
        <f>IF(23&gt;='Hypothèses'!$D$40,1,0)</f>
      </c>
      <c r="AA49" s="3" t="e">
        <f>IF(24&gt;='Hypothèses'!$D$40,1,0)</f>
      </c>
      <c r="AB49" s="3" t="e">
        <f>IF(25&gt;='Hypothèses'!$D$40,1,0)</f>
      </c>
      <c r="AC49" s="3" t="e">
        <f>IF(26&gt;='Hypothèses'!$D$40,1,0)</f>
      </c>
      <c r="AD49" s="3" t="e">
        <f>IF(27&gt;='Hypothèses'!$D$40,1,0)</f>
      </c>
      <c r="AE49" s="3" t="e">
        <f>IF(28&gt;='Hypothèses'!$D$40,1,0)</f>
      </c>
      <c r="AF49" s="3" t="e">
        <f>IF(29&gt;='Hypothèses'!$D$40,1,0)</f>
      </c>
      <c r="AG49" s="3" t="e">
        <f>IF(30&gt;='Hypothèses'!$D$40,1,0)</f>
      </c>
      <c r="AH49" s="3" t="e">
        <f>IF(31&gt;='Hypothèses'!$D$40,1,0)</f>
      </c>
      <c r="AI49" s="3" t="e">
        <f>IF(32&gt;='Hypothèses'!$D$40,1,0)</f>
      </c>
      <c r="AJ49" s="3" t="e">
        <f>IF(33&gt;='Hypothèses'!$D$40,1,0)</f>
      </c>
      <c r="AK49" s="3" t="e">
        <f>IF(34&gt;='Hypothèses'!$D$40,1,0)</f>
      </c>
      <c r="AL49" s="3" t="e">
        <f>IF(35&gt;='Hypothèses'!$D$40,1,0)</f>
      </c>
      <c r="AM49" s="3" t="e">
        <f>IF(36&gt;='Hypothèses'!$D$40,1,0)</f>
      </c>
      <c r="AN49" s="3" t="e">
        <f>IF(37&gt;='Hypothèses'!$D$40,1,0)</f>
      </c>
      <c r="AO49" s="3" t="e">
        <f>IF(38&gt;='Hypothèses'!$D$40,1,0)</f>
      </c>
      <c r="AP49" s="3" t="e">
        <f>IF(39&gt;='Hypothèses'!$D$40,1,0)</f>
      </c>
      <c r="AQ49" s="3" t="e">
        <f>IF(40&gt;='Hypothèses'!$D$40,1,0)</f>
      </c>
      <c r="AR49" s="3" t="e">
        <f>IF(41&gt;='Hypothèses'!$D$40,1,0)</f>
      </c>
      <c r="AS49" s="3" t="e">
        <f>IF(42&gt;='Hypothèses'!$D$40,1,0)</f>
      </c>
      <c r="AT49" s="3" t="e">
        <f>IF(43&gt;='Hypothèses'!$D$40,1,0)</f>
      </c>
      <c r="AU49" s="3" t="e">
        <f>IF(44&gt;='Hypothèses'!$D$40,1,0)</f>
      </c>
      <c r="AV49" s="3" t="e">
        <f>IF(45&gt;='Hypothèses'!$D$40,1,0)</f>
      </c>
      <c r="AW49" s="3" t="e">
        <f>IF(46&gt;='Hypothèses'!$D$40,1,0)</f>
      </c>
      <c r="AX49" s="3" t="e">
        <f>IF(47&gt;='Hypothèses'!$D$40,1,0)</f>
      </c>
      <c r="AY49" s="3" t="e">
        <f>IF(48&gt;='Hypothèses'!$D$40,1,0)</f>
      </c>
      <c r="AZ49" s="3" t="e">
        <f>IF(49&gt;='Hypothèses'!$D$40,1,0)</f>
      </c>
      <c r="BA49" s="3" t="e">
        <f>IF(50&gt;='Hypothèses'!$D$40,1,0)</f>
      </c>
      <c r="BB49" s="3" t="e">
        <f>IF(51&gt;='Hypothèses'!$D$40,1,0)</f>
      </c>
      <c r="BC49" s="3" t="e">
        <f>IF(52&gt;='Hypothèses'!$D$40,1,0)</f>
      </c>
      <c r="BD49" s="3" t="e">
        <f>IF(53&gt;='Hypothèses'!$D$40,1,0)</f>
      </c>
      <c r="BE49" s="3" t="e">
        <f>IF(54&gt;='Hypothèses'!$D$40,1,0)</f>
      </c>
      <c r="BF49" s="3" t="e">
        <f>IF(55&gt;='Hypothèses'!$D$40,1,0)</f>
      </c>
      <c r="BG49" s="3" t="e">
        <f>IF(56&gt;='Hypothèses'!$D$40,1,0)</f>
      </c>
      <c r="BH49" s="3" t="e">
        <f>IF(57&gt;='Hypothèses'!$D$40,1,0)</f>
      </c>
      <c r="BI49" s="3" t="e">
        <f>IF(58&gt;='Hypothèses'!$D$40,1,0)</f>
      </c>
      <c r="BJ49" s="3" t="e">
        <f>IF(59&gt;='Hypothèses'!$D$40,1,0)</f>
      </c>
      <c r="BK49" s="3" t="e">
        <f>IF(60&gt;='Hypothèses'!$D$40,1,0)</f>
      </c>
      <c r="BL49" s="3" t="e">
        <f>O49</f>
      </c>
      <c r="BM49" s="3" t="e">
        <f>AA49</f>
      </c>
      <c r="BN49" s="3" t="e">
        <f>AM49</f>
      </c>
      <c r="BO49" s="3" t="e">
        <f>AY49</f>
      </c>
      <c r="BP49" s="3" t="e">
        <f>BK49</f>
      </c>
    </row>
    <row r="50">
      <c r="A50" t="str">
        <v>Commercial salarié n°14 — ancienneté</v>
      </c>
      <c r="B50" t="str">
        <v>mois</v>
      </c>
      <c r="C50" s="3">
        <v>0</v>
      </c>
      <c r="D50" s="3" t="e">
        <f>IF(D49=1,C50+1,0)</f>
      </c>
      <c r="E50" s="3" t="e">
        <f>IF(E49=1,D50+1,0)</f>
      </c>
      <c r="F50" s="3" t="e">
        <f>IF(F49=1,E50+1,0)</f>
      </c>
      <c r="G50" s="3" t="e">
        <f>IF(G49=1,F50+1,0)</f>
      </c>
      <c r="H50" s="3" t="e">
        <f>IF(H49=1,G50+1,0)</f>
      </c>
      <c r="I50" s="3" t="e">
        <f>IF(I49=1,H50+1,0)</f>
      </c>
      <c r="J50" s="3" t="e">
        <f>IF(J49=1,I50+1,0)</f>
      </c>
      <c r="K50" s="3" t="e">
        <f>IF(K49=1,J50+1,0)</f>
      </c>
      <c r="L50" s="3" t="e">
        <f>IF(L49=1,K50+1,0)</f>
      </c>
      <c r="M50" s="3" t="e">
        <f>IF(M49=1,L50+1,0)</f>
      </c>
      <c r="N50" s="3" t="e">
        <f>IF(N49=1,M50+1,0)</f>
      </c>
      <c r="O50" s="3" t="e">
        <f>IF(O49=1,N50+1,0)</f>
      </c>
      <c r="P50" s="3" t="e">
        <f>IF(P49=1,O50+1,0)</f>
      </c>
      <c r="Q50" s="3" t="e">
        <f>IF(Q49=1,P50+1,0)</f>
      </c>
      <c r="R50" s="3" t="e">
        <f>IF(R49=1,Q50+1,0)</f>
      </c>
      <c r="S50" s="3" t="e">
        <f>IF(S49=1,R50+1,0)</f>
      </c>
      <c r="T50" s="3" t="e">
        <f>IF(T49=1,S50+1,0)</f>
      </c>
      <c r="U50" s="3" t="e">
        <f>IF(U49=1,T50+1,0)</f>
      </c>
      <c r="V50" s="3" t="e">
        <f>IF(V49=1,U50+1,0)</f>
      </c>
      <c r="W50" s="3" t="e">
        <f>IF(W49=1,V50+1,0)</f>
      </c>
      <c r="X50" s="3" t="e">
        <f>IF(X49=1,W50+1,0)</f>
      </c>
      <c r="Y50" s="3" t="e">
        <f>IF(Y49=1,X50+1,0)</f>
      </c>
      <c r="Z50" s="3" t="e">
        <f>IF(Z49=1,Y50+1,0)</f>
      </c>
      <c r="AA50" s="3" t="e">
        <f>IF(AA49=1,Z50+1,0)</f>
      </c>
      <c r="AB50" s="3" t="e">
        <f>IF(AB49=1,AA50+1,0)</f>
      </c>
      <c r="AC50" s="3" t="e">
        <f>IF(AC49=1,AB50+1,0)</f>
      </c>
      <c r="AD50" s="3" t="e">
        <f>IF(AD49=1,AC50+1,0)</f>
      </c>
      <c r="AE50" s="3" t="e">
        <f>IF(AE49=1,AD50+1,0)</f>
      </c>
      <c r="AF50" s="3" t="e">
        <f>IF(AF49=1,AE50+1,0)</f>
      </c>
      <c r="AG50" s="3" t="e">
        <f>IF(AG49=1,AF50+1,0)</f>
      </c>
      <c r="AH50" s="3" t="e">
        <f>IF(AH49=1,AG50+1,0)</f>
      </c>
      <c r="AI50" s="3" t="e">
        <f>IF(AI49=1,AH50+1,0)</f>
      </c>
      <c r="AJ50" s="3" t="e">
        <f>IF(AJ49=1,AI50+1,0)</f>
      </c>
      <c r="AK50" s="3" t="e">
        <f>IF(AK49=1,AJ50+1,0)</f>
      </c>
      <c r="AL50" s="3" t="e">
        <f>IF(AL49=1,AK50+1,0)</f>
      </c>
      <c r="AM50" s="3" t="e">
        <f>IF(AM49=1,AL50+1,0)</f>
      </c>
      <c r="AN50" s="3" t="e">
        <f>IF(AN49=1,AM50+1,0)</f>
      </c>
      <c r="AO50" s="3" t="e">
        <f>IF(AO49=1,AN50+1,0)</f>
      </c>
      <c r="AP50" s="3" t="e">
        <f>IF(AP49=1,AO50+1,0)</f>
      </c>
      <c r="AQ50" s="3" t="e">
        <f>IF(AQ49=1,AP50+1,0)</f>
      </c>
      <c r="AR50" s="3" t="e">
        <f>IF(AR49=1,AQ50+1,0)</f>
      </c>
      <c r="AS50" s="3" t="e">
        <f>IF(AS49=1,AR50+1,0)</f>
      </c>
      <c r="AT50" s="3" t="e">
        <f>IF(AT49=1,AS50+1,0)</f>
      </c>
      <c r="AU50" s="3" t="e">
        <f>IF(AU49=1,AT50+1,0)</f>
      </c>
      <c r="AV50" s="3" t="e">
        <f>IF(AV49=1,AU50+1,0)</f>
      </c>
      <c r="AW50" s="3" t="e">
        <f>IF(AW49=1,AV50+1,0)</f>
      </c>
      <c r="AX50" s="3" t="e">
        <f>IF(AX49=1,AW50+1,0)</f>
      </c>
      <c r="AY50" s="3" t="e">
        <f>IF(AY49=1,AX50+1,0)</f>
      </c>
      <c r="AZ50" s="3" t="e">
        <f>IF(AZ49=1,AY50+1,0)</f>
      </c>
      <c r="BA50" s="3" t="e">
        <f>IF(BA49=1,AZ50+1,0)</f>
      </c>
      <c r="BB50" s="3" t="e">
        <f>IF(BB49=1,BA50+1,0)</f>
      </c>
      <c r="BC50" s="3" t="e">
        <f>IF(BC49=1,BB50+1,0)</f>
      </c>
      <c r="BD50" s="3" t="e">
        <f>IF(BD49=1,BC50+1,0)</f>
      </c>
      <c r="BE50" s="3" t="e">
        <f>IF(BE49=1,BD50+1,0)</f>
      </c>
      <c r="BF50" s="3" t="e">
        <f>IF(BF49=1,BE50+1,0)</f>
      </c>
      <c r="BG50" s="3" t="e">
        <f>IF(BG49=1,BF50+1,0)</f>
      </c>
      <c r="BH50" s="3" t="e">
        <f>IF(BH49=1,BG50+1,0)</f>
      </c>
      <c r="BI50" s="3" t="e">
        <f>IF(BI49=1,BH50+1,0)</f>
      </c>
      <c r="BJ50" s="3" t="e">
        <f>IF(BJ49=1,BI50+1,0)</f>
      </c>
      <c r="BK50" s="3" t="e">
        <f>IF(BK49=1,BJ50+1,0)</f>
      </c>
      <c r="BL50" s="3" t="e">
        <f>O50</f>
      </c>
      <c r="BM50" s="3" t="e">
        <f>AA50</f>
      </c>
      <c r="BN50" s="3" t="e">
        <f>AM50</f>
      </c>
      <c r="BO50" s="3" t="e">
        <f>AY50</f>
      </c>
      <c r="BP50" s="3" t="e">
        <f>BK50</f>
      </c>
    </row>
    <row r="51">
      <c r="A51" t="str">
        <v>Commercial salarié n°14 — productivité (ramp)</v>
      </c>
      <c r="B51" t="str">
        <v>%</v>
      </c>
      <c r="C51" s="2">
        <v>0</v>
      </c>
      <c r="D51" s="2" t="e">
        <f>IF(D49=1,MIN(1,D50/'Hypothèses'!$D$19),0)</f>
      </c>
      <c r="E51" s="2" t="e">
        <f>IF(E49=1,MIN(1,E50/'Hypothèses'!$D$19),0)</f>
      </c>
      <c r="F51" s="2" t="e">
        <f>IF(F49=1,MIN(1,F50/'Hypothèses'!$D$19),0)</f>
      </c>
      <c r="G51" s="2" t="e">
        <f>IF(G49=1,MIN(1,G50/'Hypothèses'!$D$19),0)</f>
      </c>
      <c r="H51" s="2" t="e">
        <f>IF(H49=1,MIN(1,H50/'Hypothèses'!$D$19),0)</f>
      </c>
      <c r="I51" s="2" t="e">
        <f>IF(I49=1,MIN(1,I50/'Hypothèses'!$D$19),0)</f>
      </c>
      <c r="J51" s="2" t="e">
        <f>IF(J49=1,MIN(1,J50/'Hypothèses'!$D$19),0)</f>
      </c>
      <c r="K51" s="2" t="e">
        <f>IF(K49=1,MIN(1,K50/'Hypothèses'!$D$19),0)</f>
      </c>
      <c r="L51" s="2" t="e">
        <f>IF(L49=1,MIN(1,L50/'Hypothèses'!$D$19),0)</f>
      </c>
      <c r="M51" s="2" t="e">
        <f>IF(M49=1,MIN(1,M50/'Hypothèses'!$D$19),0)</f>
      </c>
      <c r="N51" s="2" t="e">
        <f>IF(N49=1,MIN(1,N50/'Hypothèses'!$D$19),0)</f>
      </c>
      <c r="O51" s="2" t="e">
        <f>IF(O49=1,MIN(1,O50/'Hypothèses'!$D$19),0)</f>
      </c>
      <c r="P51" s="2" t="e">
        <f>IF(P49=1,MIN(1,P50/'Hypothèses'!$D$19),0)</f>
      </c>
      <c r="Q51" s="2" t="e">
        <f>IF(Q49=1,MIN(1,Q50/'Hypothèses'!$D$19),0)</f>
      </c>
      <c r="R51" s="2" t="e">
        <f>IF(R49=1,MIN(1,R50/'Hypothèses'!$D$19),0)</f>
      </c>
      <c r="S51" s="2" t="e">
        <f>IF(S49=1,MIN(1,S50/'Hypothèses'!$D$19),0)</f>
      </c>
      <c r="T51" s="2" t="e">
        <f>IF(T49=1,MIN(1,T50/'Hypothèses'!$D$19),0)</f>
      </c>
      <c r="U51" s="2" t="e">
        <f>IF(U49=1,MIN(1,U50/'Hypothèses'!$D$19),0)</f>
      </c>
      <c r="V51" s="2" t="e">
        <f>IF(V49=1,MIN(1,V50/'Hypothèses'!$D$19),0)</f>
      </c>
      <c r="W51" s="2" t="e">
        <f>IF(W49=1,MIN(1,W50/'Hypothèses'!$D$19),0)</f>
      </c>
      <c r="X51" s="2" t="e">
        <f>IF(X49=1,MIN(1,X50/'Hypothèses'!$D$19),0)</f>
      </c>
      <c r="Y51" s="2" t="e">
        <f>IF(Y49=1,MIN(1,Y50/'Hypothèses'!$D$19),0)</f>
      </c>
      <c r="Z51" s="2" t="e">
        <f>IF(Z49=1,MIN(1,Z50/'Hypothèses'!$D$19),0)</f>
      </c>
      <c r="AA51" s="2" t="e">
        <f>IF(AA49=1,MIN(1,AA50/'Hypothèses'!$D$19),0)</f>
      </c>
      <c r="AB51" s="2" t="e">
        <f>IF(AB49=1,MIN(1,AB50/'Hypothèses'!$D$19),0)</f>
      </c>
      <c r="AC51" s="2" t="e">
        <f>IF(AC49=1,MIN(1,AC50/'Hypothèses'!$D$19),0)</f>
      </c>
      <c r="AD51" s="2" t="e">
        <f>IF(AD49=1,MIN(1,AD50/'Hypothèses'!$D$19),0)</f>
      </c>
      <c r="AE51" s="2" t="e">
        <f>IF(AE49=1,MIN(1,AE50/'Hypothèses'!$D$19),0)</f>
      </c>
      <c r="AF51" s="2" t="e">
        <f>IF(AF49=1,MIN(1,AF50/'Hypothèses'!$D$19),0)</f>
      </c>
      <c r="AG51" s="2" t="e">
        <f>IF(AG49=1,MIN(1,AG50/'Hypothèses'!$D$19),0)</f>
      </c>
      <c r="AH51" s="2" t="e">
        <f>IF(AH49=1,MIN(1,AH50/'Hypothèses'!$D$19),0)</f>
      </c>
      <c r="AI51" s="2" t="e">
        <f>IF(AI49=1,MIN(1,AI50/'Hypothèses'!$D$19),0)</f>
      </c>
      <c r="AJ51" s="2" t="e">
        <f>IF(AJ49=1,MIN(1,AJ50/'Hypothèses'!$D$19),0)</f>
      </c>
      <c r="AK51" s="2" t="e">
        <f>IF(AK49=1,MIN(1,AK50/'Hypothèses'!$D$19),0)</f>
      </c>
      <c r="AL51" s="2" t="e">
        <f>IF(AL49=1,MIN(1,AL50/'Hypothèses'!$D$19),0)</f>
      </c>
      <c r="AM51" s="2" t="e">
        <f>IF(AM49=1,MIN(1,AM50/'Hypothèses'!$D$19),0)</f>
      </c>
      <c r="AN51" s="2" t="e">
        <f>IF(AN49=1,MIN(1,AN50/'Hypothèses'!$D$19),0)</f>
      </c>
      <c r="AO51" s="2" t="e">
        <f>IF(AO49=1,MIN(1,AO50/'Hypothèses'!$D$19),0)</f>
      </c>
      <c r="AP51" s="2" t="e">
        <f>IF(AP49=1,MIN(1,AP50/'Hypothèses'!$D$19),0)</f>
      </c>
      <c r="AQ51" s="2" t="e">
        <f>IF(AQ49=1,MIN(1,AQ50/'Hypothèses'!$D$19),0)</f>
      </c>
      <c r="AR51" s="2" t="e">
        <f>IF(AR49=1,MIN(1,AR50/'Hypothèses'!$D$19),0)</f>
      </c>
      <c r="AS51" s="2" t="e">
        <f>IF(AS49=1,MIN(1,AS50/'Hypothèses'!$D$19),0)</f>
      </c>
      <c r="AT51" s="2" t="e">
        <f>IF(AT49=1,MIN(1,AT50/'Hypothèses'!$D$19),0)</f>
      </c>
      <c r="AU51" s="2" t="e">
        <f>IF(AU49=1,MIN(1,AU50/'Hypothèses'!$D$19),0)</f>
      </c>
      <c r="AV51" s="2" t="e">
        <f>IF(AV49=1,MIN(1,AV50/'Hypothèses'!$D$19),0)</f>
      </c>
      <c r="AW51" s="2" t="e">
        <f>IF(AW49=1,MIN(1,AW50/'Hypothèses'!$D$19),0)</f>
      </c>
      <c r="AX51" s="2" t="e">
        <f>IF(AX49=1,MIN(1,AX50/'Hypothèses'!$D$19),0)</f>
      </c>
      <c r="AY51" s="2" t="e">
        <f>IF(AY49=1,MIN(1,AY50/'Hypothèses'!$D$19),0)</f>
      </c>
      <c r="AZ51" s="2" t="e">
        <f>IF(AZ49=1,MIN(1,AZ50/'Hypothèses'!$D$19),0)</f>
      </c>
      <c r="BA51" s="2" t="e">
        <f>IF(BA49=1,MIN(1,BA50/'Hypothèses'!$D$19),0)</f>
      </c>
      <c r="BB51" s="2" t="e">
        <f>IF(BB49=1,MIN(1,BB50/'Hypothèses'!$D$19),0)</f>
      </c>
      <c r="BC51" s="2" t="e">
        <f>IF(BC49=1,MIN(1,BC50/'Hypothèses'!$D$19),0)</f>
      </c>
      <c r="BD51" s="2" t="e">
        <f>IF(BD49=1,MIN(1,BD50/'Hypothèses'!$D$19),0)</f>
      </c>
      <c r="BE51" s="2" t="e">
        <f>IF(BE49=1,MIN(1,BE50/'Hypothèses'!$D$19),0)</f>
      </c>
      <c r="BF51" s="2" t="e">
        <f>IF(BF49=1,MIN(1,BF50/'Hypothèses'!$D$19),0)</f>
      </c>
      <c r="BG51" s="2" t="e">
        <f>IF(BG49=1,MIN(1,BG50/'Hypothèses'!$D$19),0)</f>
      </c>
      <c r="BH51" s="2" t="e">
        <f>IF(BH49=1,MIN(1,BH50/'Hypothèses'!$D$19),0)</f>
      </c>
      <c r="BI51" s="2" t="e">
        <f>IF(BI49=1,MIN(1,BI50/'Hypothèses'!$D$19),0)</f>
      </c>
      <c r="BJ51" s="2" t="e">
        <f>IF(BJ49=1,MIN(1,BJ50/'Hypothèses'!$D$19),0)</f>
      </c>
      <c r="BK51" s="2" t="e">
        <f>IF(BK49=1,MIN(1,BK50/'Hypothèses'!$D$19),0)</f>
      </c>
      <c r="BL51" s="2" t="e">
        <f>AVERAGE(D51:O51)</f>
      </c>
      <c r="BM51" s="2" t="e">
        <f>AVERAGE(P51:AA51)</f>
      </c>
      <c r="BN51" s="2" t="e">
        <f>AVERAGE(AB51:AM51)</f>
      </c>
      <c r="BO51" s="2" t="e">
        <f>AVERAGE(AN51:AY51)</f>
      </c>
      <c r="BP51" s="2" t="e">
        <f>AVERAGE(AZ51:BK51)</f>
      </c>
    </row>
    <row r="52">
      <c r="A52" t="str">
        <v>Commercial salarié n°15 en poste (1/0)</v>
      </c>
      <c r="B52" t="str">
        <v>0/1</v>
      </c>
      <c r="C52" s="3">
        <v>0</v>
      </c>
      <c r="D52" s="3" t="e">
        <f>IF(1&gt;='Hypothèses'!$D$41,1,0)</f>
      </c>
      <c r="E52" s="3" t="e">
        <f>IF(2&gt;='Hypothèses'!$D$41,1,0)</f>
      </c>
      <c r="F52" s="3" t="e">
        <f>IF(3&gt;='Hypothèses'!$D$41,1,0)</f>
      </c>
      <c r="G52" s="3" t="e">
        <f>IF(4&gt;='Hypothèses'!$D$41,1,0)</f>
      </c>
      <c r="H52" s="3" t="e">
        <f>IF(5&gt;='Hypothèses'!$D$41,1,0)</f>
      </c>
      <c r="I52" s="3" t="e">
        <f>IF(6&gt;='Hypothèses'!$D$41,1,0)</f>
      </c>
      <c r="J52" s="3" t="e">
        <f>IF(7&gt;='Hypothèses'!$D$41,1,0)</f>
      </c>
      <c r="K52" s="3" t="e">
        <f>IF(8&gt;='Hypothèses'!$D$41,1,0)</f>
      </c>
      <c r="L52" s="3" t="e">
        <f>IF(9&gt;='Hypothèses'!$D$41,1,0)</f>
      </c>
      <c r="M52" s="3" t="e">
        <f>IF(10&gt;='Hypothèses'!$D$41,1,0)</f>
      </c>
      <c r="N52" s="3" t="e">
        <f>IF(11&gt;='Hypothèses'!$D$41,1,0)</f>
      </c>
      <c r="O52" s="3" t="e">
        <f>IF(12&gt;='Hypothèses'!$D$41,1,0)</f>
      </c>
      <c r="P52" s="3" t="e">
        <f>IF(13&gt;='Hypothèses'!$D$41,1,0)</f>
      </c>
      <c r="Q52" s="3" t="e">
        <f>IF(14&gt;='Hypothèses'!$D$41,1,0)</f>
      </c>
      <c r="R52" s="3" t="e">
        <f>IF(15&gt;='Hypothèses'!$D$41,1,0)</f>
      </c>
      <c r="S52" s="3" t="e">
        <f>IF(16&gt;='Hypothèses'!$D$41,1,0)</f>
      </c>
      <c r="T52" s="3" t="e">
        <f>IF(17&gt;='Hypothèses'!$D$41,1,0)</f>
      </c>
      <c r="U52" s="3" t="e">
        <f>IF(18&gt;='Hypothèses'!$D$41,1,0)</f>
      </c>
      <c r="V52" s="3" t="e">
        <f>IF(19&gt;='Hypothèses'!$D$41,1,0)</f>
      </c>
      <c r="W52" s="3" t="e">
        <f>IF(20&gt;='Hypothèses'!$D$41,1,0)</f>
      </c>
      <c r="X52" s="3" t="e">
        <f>IF(21&gt;='Hypothèses'!$D$41,1,0)</f>
      </c>
      <c r="Y52" s="3" t="e">
        <f>IF(22&gt;='Hypothèses'!$D$41,1,0)</f>
      </c>
      <c r="Z52" s="3" t="e">
        <f>IF(23&gt;='Hypothèses'!$D$41,1,0)</f>
      </c>
      <c r="AA52" s="3" t="e">
        <f>IF(24&gt;='Hypothèses'!$D$41,1,0)</f>
      </c>
      <c r="AB52" s="3" t="e">
        <f>IF(25&gt;='Hypothèses'!$D$41,1,0)</f>
      </c>
      <c r="AC52" s="3" t="e">
        <f>IF(26&gt;='Hypothèses'!$D$41,1,0)</f>
      </c>
      <c r="AD52" s="3" t="e">
        <f>IF(27&gt;='Hypothèses'!$D$41,1,0)</f>
      </c>
      <c r="AE52" s="3" t="e">
        <f>IF(28&gt;='Hypothèses'!$D$41,1,0)</f>
      </c>
      <c r="AF52" s="3" t="e">
        <f>IF(29&gt;='Hypothèses'!$D$41,1,0)</f>
      </c>
      <c r="AG52" s="3" t="e">
        <f>IF(30&gt;='Hypothèses'!$D$41,1,0)</f>
      </c>
      <c r="AH52" s="3" t="e">
        <f>IF(31&gt;='Hypothèses'!$D$41,1,0)</f>
      </c>
      <c r="AI52" s="3" t="e">
        <f>IF(32&gt;='Hypothèses'!$D$41,1,0)</f>
      </c>
      <c r="AJ52" s="3" t="e">
        <f>IF(33&gt;='Hypothèses'!$D$41,1,0)</f>
      </c>
      <c r="AK52" s="3" t="e">
        <f>IF(34&gt;='Hypothèses'!$D$41,1,0)</f>
      </c>
      <c r="AL52" s="3" t="e">
        <f>IF(35&gt;='Hypothèses'!$D$41,1,0)</f>
      </c>
      <c r="AM52" s="3" t="e">
        <f>IF(36&gt;='Hypothèses'!$D$41,1,0)</f>
      </c>
      <c r="AN52" s="3" t="e">
        <f>IF(37&gt;='Hypothèses'!$D$41,1,0)</f>
      </c>
      <c r="AO52" s="3" t="e">
        <f>IF(38&gt;='Hypothèses'!$D$41,1,0)</f>
      </c>
      <c r="AP52" s="3" t="e">
        <f>IF(39&gt;='Hypothèses'!$D$41,1,0)</f>
      </c>
      <c r="AQ52" s="3" t="e">
        <f>IF(40&gt;='Hypothèses'!$D$41,1,0)</f>
      </c>
      <c r="AR52" s="3" t="e">
        <f>IF(41&gt;='Hypothèses'!$D$41,1,0)</f>
      </c>
      <c r="AS52" s="3" t="e">
        <f>IF(42&gt;='Hypothèses'!$D$41,1,0)</f>
      </c>
      <c r="AT52" s="3" t="e">
        <f>IF(43&gt;='Hypothèses'!$D$41,1,0)</f>
      </c>
      <c r="AU52" s="3" t="e">
        <f>IF(44&gt;='Hypothèses'!$D$41,1,0)</f>
      </c>
      <c r="AV52" s="3" t="e">
        <f>IF(45&gt;='Hypothèses'!$D$41,1,0)</f>
      </c>
      <c r="AW52" s="3" t="e">
        <f>IF(46&gt;='Hypothèses'!$D$41,1,0)</f>
      </c>
      <c r="AX52" s="3" t="e">
        <f>IF(47&gt;='Hypothèses'!$D$41,1,0)</f>
      </c>
      <c r="AY52" s="3" t="e">
        <f>IF(48&gt;='Hypothèses'!$D$41,1,0)</f>
      </c>
      <c r="AZ52" s="3" t="e">
        <f>IF(49&gt;='Hypothèses'!$D$41,1,0)</f>
      </c>
      <c r="BA52" s="3" t="e">
        <f>IF(50&gt;='Hypothèses'!$D$41,1,0)</f>
      </c>
      <c r="BB52" s="3" t="e">
        <f>IF(51&gt;='Hypothèses'!$D$41,1,0)</f>
      </c>
      <c r="BC52" s="3" t="e">
        <f>IF(52&gt;='Hypothèses'!$D$41,1,0)</f>
      </c>
      <c r="BD52" s="3" t="e">
        <f>IF(53&gt;='Hypothèses'!$D$41,1,0)</f>
      </c>
      <c r="BE52" s="3" t="e">
        <f>IF(54&gt;='Hypothèses'!$D$41,1,0)</f>
      </c>
      <c r="BF52" s="3" t="e">
        <f>IF(55&gt;='Hypothèses'!$D$41,1,0)</f>
      </c>
      <c r="BG52" s="3" t="e">
        <f>IF(56&gt;='Hypothèses'!$D$41,1,0)</f>
      </c>
      <c r="BH52" s="3" t="e">
        <f>IF(57&gt;='Hypothèses'!$D$41,1,0)</f>
      </c>
      <c r="BI52" s="3" t="e">
        <f>IF(58&gt;='Hypothèses'!$D$41,1,0)</f>
      </c>
      <c r="BJ52" s="3" t="e">
        <f>IF(59&gt;='Hypothèses'!$D$41,1,0)</f>
      </c>
      <c r="BK52" s="3" t="e">
        <f>IF(60&gt;='Hypothèses'!$D$41,1,0)</f>
      </c>
      <c r="BL52" s="3" t="e">
        <f>O52</f>
      </c>
      <c r="BM52" s="3" t="e">
        <f>AA52</f>
      </c>
      <c r="BN52" s="3" t="e">
        <f>AM52</f>
      </c>
      <c r="BO52" s="3" t="e">
        <f>AY52</f>
      </c>
      <c r="BP52" s="3" t="e">
        <f>BK52</f>
      </c>
    </row>
    <row r="53">
      <c r="A53" t="str">
        <v>Commercial salarié n°15 — ancienneté</v>
      </c>
      <c r="B53" t="str">
        <v>mois</v>
      </c>
      <c r="C53" s="3">
        <v>0</v>
      </c>
      <c r="D53" s="3" t="e">
        <f>IF(D52=1,C53+1,0)</f>
      </c>
      <c r="E53" s="3" t="e">
        <f>IF(E52=1,D53+1,0)</f>
      </c>
      <c r="F53" s="3" t="e">
        <f>IF(F52=1,E53+1,0)</f>
      </c>
      <c r="G53" s="3" t="e">
        <f>IF(G52=1,F53+1,0)</f>
      </c>
      <c r="H53" s="3" t="e">
        <f>IF(H52=1,G53+1,0)</f>
      </c>
      <c r="I53" s="3" t="e">
        <f>IF(I52=1,H53+1,0)</f>
      </c>
      <c r="J53" s="3" t="e">
        <f>IF(J52=1,I53+1,0)</f>
      </c>
      <c r="K53" s="3" t="e">
        <f>IF(K52=1,J53+1,0)</f>
      </c>
      <c r="L53" s="3" t="e">
        <f>IF(L52=1,K53+1,0)</f>
      </c>
      <c r="M53" s="3" t="e">
        <f>IF(M52=1,L53+1,0)</f>
      </c>
      <c r="N53" s="3" t="e">
        <f>IF(N52=1,M53+1,0)</f>
      </c>
      <c r="O53" s="3" t="e">
        <f>IF(O52=1,N53+1,0)</f>
      </c>
      <c r="P53" s="3" t="e">
        <f>IF(P52=1,O53+1,0)</f>
      </c>
      <c r="Q53" s="3" t="e">
        <f>IF(Q52=1,P53+1,0)</f>
      </c>
      <c r="R53" s="3" t="e">
        <f>IF(R52=1,Q53+1,0)</f>
      </c>
      <c r="S53" s="3" t="e">
        <f>IF(S52=1,R53+1,0)</f>
      </c>
      <c r="T53" s="3" t="e">
        <f>IF(T52=1,S53+1,0)</f>
      </c>
      <c r="U53" s="3" t="e">
        <f>IF(U52=1,T53+1,0)</f>
      </c>
      <c r="V53" s="3" t="e">
        <f>IF(V52=1,U53+1,0)</f>
      </c>
      <c r="W53" s="3" t="e">
        <f>IF(W52=1,V53+1,0)</f>
      </c>
      <c r="X53" s="3" t="e">
        <f>IF(X52=1,W53+1,0)</f>
      </c>
      <c r="Y53" s="3" t="e">
        <f>IF(Y52=1,X53+1,0)</f>
      </c>
      <c r="Z53" s="3" t="e">
        <f>IF(Z52=1,Y53+1,0)</f>
      </c>
      <c r="AA53" s="3" t="e">
        <f>IF(AA52=1,Z53+1,0)</f>
      </c>
      <c r="AB53" s="3" t="e">
        <f>IF(AB52=1,AA53+1,0)</f>
      </c>
      <c r="AC53" s="3" t="e">
        <f>IF(AC52=1,AB53+1,0)</f>
      </c>
      <c r="AD53" s="3" t="e">
        <f>IF(AD52=1,AC53+1,0)</f>
      </c>
      <c r="AE53" s="3" t="e">
        <f>IF(AE52=1,AD53+1,0)</f>
      </c>
      <c r="AF53" s="3" t="e">
        <f>IF(AF52=1,AE53+1,0)</f>
      </c>
      <c r="AG53" s="3" t="e">
        <f>IF(AG52=1,AF53+1,0)</f>
      </c>
      <c r="AH53" s="3" t="e">
        <f>IF(AH52=1,AG53+1,0)</f>
      </c>
      <c r="AI53" s="3" t="e">
        <f>IF(AI52=1,AH53+1,0)</f>
      </c>
      <c r="AJ53" s="3" t="e">
        <f>IF(AJ52=1,AI53+1,0)</f>
      </c>
      <c r="AK53" s="3" t="e">
        <f>IF(AK52=1,AJ53+1,0)</f>
      </c>
      <c r="AL53" s="3" t="e">
        <f>IF(AL52=1,AK53+1,0)</f>
      </c>
      <c r="AM53" s="3" t="e">
        <f>IF(AM52=1,AL53+1,0)</f>
      </c>
      <c r="AN53" s="3" t="e">
        <f>IF(AN52=1,AM53+1,0)</f>
      </c>
      <c r="AO53" s="3" t="e">
        <f>IF(AO52=1,AN53+1,0)</f>
      </c>
      <c r="AP53" s="3" t="e">
        <f>IF(AP52=1,AO53+1,0)</f>
      </c>
      <c r="AQ53" s="3" t="e">
        <f>IF(AQ52=1,AP53+1,0)</f>
      </c>
      <c r="AR53" s="3" t="e">
        <f>IF(AR52=1,AQ53+1,0)</f>
      </c>
      <c r="AS53" s="3" t="e">
        <f>IF(AS52=1,AR53+1,0)</f>
      </c>
      <c r="AT53" s="3" t="e">
        <f>IF(AT52=1,AS53+1,0)</f>
      </c>
      <c r="AU53" s="3" t="e">
        <f>IF(AU52=1,AT53+1,0)</f>
      </c>
      <c r="AV53" s="3" t="e">
        <f>IF(AV52=1,AU53+1,0)</f>
      </c>
      <c r="AW53" s="3" t="e">
        <f>IF(AW52=1,AV53+1,0)</f>
      </c>
      <c r="AX53" s="3" t="e">
        <f>IF(AX52=1,AW53+1,0)</f>
      </c>
      <c r="AY53" s="3" t="e">
        <f>IF(AY52=1,AX53+1,0)</f>
      </c>
      <c r="AZ53" s="3" t="e">
        <f>IF(AZ52=1,AY53+1,0)</f>
      </c>
      <c r="BA53" s="3" t="e">
        <f>IF(BA52=1,AZ53+1,0)</f>
      </c>
      <c r="BB53" s="3" t="e">
        <f>IF(BB52=1,BA53+1,0)</f>
      </c>
      <c r="BC53" s="3" t="e">
        <f>IF(BC52=1,BB53+1,0)</f>
      </c>
      <c r="BD53" s="3" t="e">
        <f>IF(BD52=1,BC53+1,0)</f>
      </c>
      <c r="BE53" s="3" t="e">
        <f>IF(BE52=1,BD53+1,0)</f>
      </c>
      <c r="BF53" s="3" t="e">
        <f>IF(BF52=1,BE53+1,0)</f>
      </c>
      <c r="BG53" s="3" t="e">
        <f>IF(BG52=1,BF53+1,0)</f>
      </c>
      <c r="BH53" s="3" t="e">
        <f>IF(BH52=1,BG53+1,0)</f>
      </c>
      <c r="BI53" s="3" t="e">
        <f>IF(BI52=1,BH53+1,0)</f>
      </c>
      <c r="BJ53" s="3" t="e">
        <f>IF(BJ52=1,BI53+1,0)</f>
      </c>
      <c r="BK53" s="3" t="e">
        <f>IF(BK52=1,BJ53+1,0)</f>
      </c>
      <c r="BL53" s="3" t="e">
        <f>O53</f>
      </c>
      <c r="BM53" s="3" t="e">
        <f>AA53</f>
      </c>
      <c r="BN53" s="3" t="e">
        <f>AM53</f>
      </c>
      <c r="BO53" s="3" t="e">
        <f>AY53</f>
      </c>
      <c r="BP53" s="3" t="e">
        <f>BK53</f>
      </c>
    </row>
    <row r="54">
      <c r="A54" t="str">
        <v>Commercial salarié n°15 — productivité (ramp)</v>
      </c>
      <c r="B54" t="str">
        <v>%</v>
      </c>
      <c r="C54" s="2">
        <v>0</v>
      </c>
      <c r="D54" s="2" t="e">
        <f>IF(D52=1,MIN(1,D53/'Hypothèses'!$D$19),0)</f>
      </c>
      <c r="E54" s="2" t="e">
        <f>IF(E52=1,MIN(1,E53/'Hypothèses'!$D$19),0)</f>
      </c>
      <c r="F54" s="2" t="e">
        <f>IF(F52=1,MIN(1,F53/'Hypothèses'!$D$19),0)</f>
      </c>
      <c r="G54" s="2" t="e">
        <f>IF(G52=1,MIN(1,G53/'Hypothèses'!$D$19),0)</f>
      </c>
      <c r="H54" s="2" t="e">
        <f>IF(H52=1,MIN(1,H53/'Hypothèses'!$D$19),0)</f>
      </c>
      <c r="I54" s="2" t="e">
        <f>IF(I52=1,MIN(1,I53/'Hypothèses'!$D$19),0)</f>
      </c>
      <c r="J54" s="2" t="e">
        <f>IF(J52=1,MIN(1,J53/'Hypothèses'!$D$19),0)</f>
      </c>
      <c r="K54" s="2" t="e">
        <f>IF(K52=1,MIN(1,K53/'Hypothèses'!$D$19),0)</f>
      </c>
      <c r="L54" s="2" t="e">
        <f>IF(L52=1,MIN(1,L53/'Hypothèses'!$D$19),0)</f>
      </c>
      <c r="M54" s="2" t="e">
        <f>IF(M52=1,MIN(1,M53/'Hypothèses'!$D$19),0)</f>
      </c>
      <c r="N54" s="2" t="e">
        <f>IF(N52=1,MIN(1,N53/'Hypothèses'!$D$19),0)</f>
      </c>
      <c r="O54" s="2" t="e">
        <f>IF(O52=1,MIN(1,O53/'Hypothèses'!$D$19),0)</f>
      </c>
      <c r="P54" s="2" t="e">
        <f>IF(P52=1,MIN(1,P53/'Hypothèses'!$D$19),0)</f>
      </c>
      <c r="Q54" s="2" t="e">
        <f>IF(Q52=1,MIN(1,Q53/'Hypothèses'!$D$19),0)</f>
      </c>
      <c r="R54" s="2" t="e">
        <f>IF(R52=1,MIN(1,R53/'Hypothèses'!$D$19),0)</f>
      </c>
      <c r="S54" s="2" t="e">
        <f>IF(S52=1,MIN(1,S53/'Hypothèses'!$D$19),0)</f>
      </c>
      <c r="T54" s="2" t="e">
        <f>IF(T52=1,MIN(1,T53/'Hypothèses'!$D$19),0)</f>
      </c>
      <c r="U54" s="2" t="e">
        <f>IF(U52=1,MIN(1,U53/'Hypothèses'!$D$19),0)</f>
      </c>
      <c r="V54" s="2" t="e">
        <f>IF(V52=1,MIN(1,V53/'Hypothèses'!$D$19),0)</f>
      </c>
      <c r="W54" s="2" t="e">
        <f>IF(W52=1,MIN(1,W53/'Hypothèses'!$D$19),0)</f>
      </c>
      <c r="X54" s="2" t="e">
        <f>IF(X52=1,MIN(1,X53/'Hypothèses'!$D$19),0)</f>
      </c>
      <c r="Y54" s="2" t="e">
        <f>IF(Y52=1,MIN(1,Y53/'Hypothèses'!$D$19),0)</f>
      </c>
      <c r="Z54" s="2" t="e">
        <f>IF(Z52=1,MIN(1,Z53/'Hypothèses'!$D$19),0)</f>
      </c>
      <c r="AA54" s="2" t="e">
        <f>IF(AA52=1,MIN(1,AA53/'Hypothèses'!$D$19),0)</f>
      </c>
      <c r="AB54" s="2" t="e">
        <f>IF(AB52=1,MIN(1,AB53/'Hypothèses'!$D$19),0)</f>
      </c>
      <c r="AC54" s="2" t="e">
        <f>IF(AC52=1,MIN(1,AC53/'Hypothèses'!$D$19),0)</f>
      </c>
      <c r="AD54" s="2" t="e">
        <f>IF(AD52=1,MIN(1,AD53/'Hypothèses'!$D$19),0)</f>
      </c>
      <c r="AE54" s="2" t="e">
        <f>IF(AE52=1,MIN(1,AE53/'Hypothèses'!$D$19),0)</f>
      </c>
      <c r="AF54" s="2" t="e">
        <f>IF(AF52=1,MIN(1,AF53/'Hypothèses'!$D$19),0)</f>
      </c>
      <c r="AG54" s="2" t="e">
        <f>IF(AG52=1,MIN(1,AG53/'Hypothèses'!$D$19),0)</f>
      </c>
      <c r="AH54" s="2" t="e">
        <f>IF(AH52=1,MIN(1,AH53/'Hypothèses'!$D$19),0)</f>
      </c>
      <c r="AI54" s="2" t="e">
        <f>IF(AI52=1,MIN(1,AI53/'Hypothèses'!$D$19),0)</f>
      </c>
      <c r="AJ54" s="2" t="e">
        <f>IF(AJ52=1,MIN(1,AJ53/'Hypothèses'!$D$19),0)</f>
      </c>
      <c r="AK54" s="2" t="e">
        <f>IF(AK52=1,MIN(1,AK53/'Hypothèses'!$D$19),0)</f>
      </c>
      <c r="AL54" s="2" t="e">
        <f>IF(AL52=1,MIN(1,AL53/'Hypothèses'!$D$19),0)</f>
      </c>
      <c r="AM54" s="2" t="e">
        <f>IF(AM52=1,MIN(1,AM53/'Hypothèses'!$D$19),0)</f>
      </c>
      <c r="AN54" s="2" t="e">
        <f>IF(AN52=1,MIN(1,AN53/'Hypothèses'!$D$19),0)</f>
      </c>
      <c r="AO54" s="2" t="e">
        <f>IF(AO52=1,MIN(1,AO53/'Hypothèses'!$D$19),0)</f>
      </c>
      <c r="AP54" s="2" t="e">
        <f>IF(AP52=1,MIN(1,AP53/'Hypothèses'!$D$19),0)</f>
      </c>
      <c r="AQ54" s="2" t="e">
        <f>IF(AQ52=1,MIN(1,AQ53/'Hypothèses'!$D$19),0)</f>
      </c>
      <c r="AR54" s="2" t="e">
        <f>IF(AR52=1,MIN(1,AR53/'Hypothèses'!$D$19),0)</f>
      </c>
      <c r="AS54" s="2" t="e">
        <f>IF(AS52=1,MIN(1,AS53/'Hypothèses'!$D$19),0)</f>
      </c>
      <c r="AT54" s="2" t="e">
        <f>IF(AT52=1,MIN(1,AT53/'Hypothèses'!$D$19),0)</f>
      </c>
      <c r="AU54" s="2" t="e">
        <f>IF(AU52=1,MIN(1,AU53/'Hypothèses'!$D$19),0)</f>
      </c>
      <c r="AV54" s="2" t="e">
        <f>IF(AV52=1,MIN(1,AV53/'Hypothèses'!$D$19),0)</f>
      </c>
      <c r="AW54" s="2" t="e">
        <f>IF(AW52=1,MIN(1,AW53/'Hypothèses'!$D$19),0)</f>
      </c>
      <c r="AX54" s="2" t="e">
        <f>IF(AX52=1,MIN(1,AX53/'Hypothèses'!$D$19),0)</f>
      </c>
      <c r="AY54" s="2" t="e">
        <f>IF(AY52=1,MIN(1,AY53/'Hypothèses'!$D$19),0)</f>
      </c>
      <c r="AZ54" s="2" t="e">
        <f>IF(AZ52=1,MIN(1,AZ53/'Hypothèses'!$D$19),0)</f>
      </c>
      <c r="BA54" s="2" t="e">
        <f>IF(BA52=1,MIN(1,BA53/'Hypothèses'!$D$19),0)</f>
      </c>
      <c r="BB54" s="2" t="e">
        <f>IF(BB52=1,MIN(1,BB53/'Hypothèses'!$D$19),0)</f>
      </c>
      <c r="BC54" s="2" t="e">
        <f>IF(BC52=1,MIN(1,BC53/'Hypothèses'!$D$19),0)</f>
      </c>
      <c r="BD54" s="2" t="e">
        <f>IF(BD52=1,MIN(1,BD53/'Hypothèses'!$D$19),0)</f>
      </c>
      <c r="BE54" s="2" t="e">
        <f>IF(BE52=1,MIN(1,BE53/'Hypothèses'!$D$19),0)</f>
      </c>
      <c r="BF54" s="2" t="e">
        <f>IF(BF52=1,MIN(1,BF53/'Hypothèses'!$D$19),0)</f>
      </c>
      <c r="BG54" s="2" t="e">
        <f>IF(BG52=1,MIN(1,BG53/'Hypothèses'!$D$19),0)</f>
      </c>
      <c r="BH54" s="2" t="e">
        <f>IF(BH52=1,MIN(1,BH53/'Hypothèses'!$D$19),0)</f>
      </c>
      <c r="BI54" s="2" t="e">
        <f>IF(BI52=1,MIN(1,BI53/'Hypothèses'!$D$19),0)</f>
      </c>
      <c r="BJ54" s="2" t="e">
        <f>IF(BJ52=1,MIN(1,BJ53/'Hypothèses'!$D$19),0)</f>
      </c>
      <c r="BK54" s="2" t="e">
        <f>IF(BK52=1,MIN(1,BK53/'Hypothèses'!$D$19),0)</f>
      </c>
      <c r="BL54" s="2" t="e">
        <f>AVERAGE(D54:O54)</f>
      </c>
      <c r="BM54" s="2" t="e">
        <f>AVERAGE(P54:AA54)</f>
      </c>
      <c r="BN54" s="2" t="e">
        <f>AVERAGE(AB54:AM54)</f>
      </c>
      <c r="BO54" s="2" t="e">
        <f>AVERAGE(AN54:AY54)</f>
      </c>
      <c r="BP54" s="2" t="e">
        <f>AVERAGE(AZ54:BK54)</f>
      </c>
    </row>
    <row r="55">
      <c r="A55" t="str">
        <v>Commercial salarié n°16 en poste (1/0)</v>
      </c>
      <c r="B55" t="str">
        <v>0/1</v>
      </c>
      <c r="C55" s="3">
        <v>0</v>
      </c>
      <c r="D55" s="3" t="e">
        <f>IF(1&gt;='Hypothèses'!$D$42,1,0)</f>
      </c>
      <c r="E55" s="3" t="e">
        <f>IF(2&gt;='Hypothèses'!$D$42,1,0)</f>
      </c>
      <c r="F55" s="3" t="e">
        <f>IF(3&gt;='Hypothèses'!$D$42,1,0)</f>
      </c>
      <c r="G55" s="3" t="e">
        <f>IF(4&gt;='Hypothèses'!$D$42,1,0)</f>
      </c>
      <c r="H55" s="3" t="e">
        <f>IF(5&gt;='Hypothèses'!$D$42,1,0)</f>
      </c>
      <c r="I55" s="3" t="e">
        <f>IF(6&gt;='Hypothèses'!$D$42,1,0)</f>
      </c>
      <c r="J55" s="3" t="e">
        <f>IF(7&gt;='Hypothèses'!$D$42,1,0)</f>
      </c>
      <c r="K55" s="3" t="e">
        <f>IF(8&gt;='Hypothèses'!$D$42,1,0)</f>
      </c>
      <c r="L55" s="3" t="e">
        <f>IF(9&gt;='Hypothèses'!$D$42,1,0)</f>
      </c>
      <c r="M55" s="3" t="e">
        <f>IF(10&gt;='Hypothèses'!$D$42,1,0)</f>
      </c>
      <c r="N55" s="3" t="e">
        <f>IF(11&gt;='Hypothèses'!$D$42,1,0)</f>
      </c>
      <c r="O55" s="3" t="e">
        <f>IF(12&gt;='Hypothèses'!$D$42,1,0)</f>
      </c>
      <c r="P55" s="3" t="e">
        <f>IF(13&gt;='Hypothèses'!$D$42,1,0)</f>
      </c>
      <c r="Q55" s="3" t="e">
        <f>IF(14&gt;='Hypothèses'!$D$42,1,0)</f>
      </c>
      <c r="R55" s="3" t="e">
        <f>IF(15&gt;='Hypothèses'!$D$42,1,0)</f>
      </c>
      <c r="S55" s="3" t="e">
        <f>IF(16&gt;='Hypothèses'!$D$42,1,0)</f>
      </c>
      <c r="T55" s="3" t="e">
        <f>IF(17&gt;='Hypothèses'!$D$42,1,0)</f>
      </c>
      <c r="U55" s="3" t="e">
        <f>IF(18&gt;='Hypothèses'!$D$42,1,0)</f>
      </c>
      <c r="V55" s="3" t="e">
        <f>IF(19&gt;='Hypothèses'!$D$42,1,0)</f>
      </c>
      <c r="W55" s="3" t="e">
        <f>IF(20&gt;='Hypothèses'!$D$42,1,0)</f>
      </c>
      <c r="X55" s="3" t="e">
        <f>IF(21&gt;='Hypothèses'!$D$42,1,0)</f>
      </c>
      <c r="Y55" s="3" t="e">
        <f>IF(22&gt;='Hypothèses'!$D$42,1,0)</f>
      </c>
      <c r="Z55" s="3" t="e">
        <f>IF(23&gt;='Hypothèses'!$D$42,1,0)</f>
      </c>
      <c r="AA55" s="3" t="e">
        <f>IF(24&gt;='Hypothèses'!$D$42,1,0)</f>
      </c>
      <c r="AB55" s="3" t="e">
        <f>IF(25&gt;='Hypothèses'!$D$42,1,0)</f>
      </c>
      <c r="AC55" s="3" t="e">
        <f>IF(26&gt;='Hypothèses'!$D$42,1,0)</f>
      </c>
      <c r="AD55" s="3" t="e">
        <f>IF(27&gt;='Hypothèses'!$D$42,1,0)</f>
      </c>
      <c r="AE55" s="3" t="e">
        <f>IF(28&gt;='Hypothèses'!$D$42,1,0)</f>
      </c>
      <c r="AF55" s="3" t="e">
        <f>IF(29&gt;='Hypothèses'!$D$42,1,0)</f>
      </c>
      <c r="AG55" s="3" t="e">
        <f>IF(30&gt;='Hypothèses'!$D$42,1,0)</f>
      </c>
      <c r="AH55" s="3" t="e">
        <f>IF(31&gt;='Hypothèses'!$D$42,1,0)</f>
      </c>
      <c r="AI55" s="3" t="e">
        <f>IF(32&gt;='Hypothèses'!$D$42,1,0)</f>
      </c>
      <c r="AJ55" s="3" t="e">
        <f>IF(33&gt;='Hypothèses'!$D$42,1,0)</f>
      </c>
      <c r="AK55" s="3" t="e">
        <f>IF(34&gt;='Hypothèses'!$D$42,1,0)</f>
      </c>
      <c r="AL55" s="3" t="e">
        <f>IF(35&gt;='Hypothèses'!$D$42,1,0)</f>
      </c>
      <c r="AM55" s="3" t="e">
        <f>IF(36&gt;='Hypothèses'!$D$42,1,0)</f>
      </c>
      <c r="AN55" s="3" t="e">
        <f>IF(37&gt;='Hypothèses'!$D$42,1,0)</f>
      </c>
      <c r="AO55" s="3" t="e">
        <f>IF(38&gt;='Hypothèses'!$D$42,1,0)</f>
      </c>
      <c r="AP55" s="3" t="e">
        <f>IF(39&gt;='Hypothèses'!$D$42,1,0)</f>
      </c>
      <c r="AQ55" s="3" t="e">
        <f>IF(40&gt;='Hypothèses'!$D$42,1,0)</f>
      </c>
      <c r="AR55" s="3" t="e">
        <f>IF(41&gt;='Hypothèses'!$D$42,1,0)</f>
      </c>
      <c r="AS55" s="3" t="e">
        <f>IF(42&gt;='Hypothèses'!$D$42,1,0)</f>
      </c>
      <c r="AT55" s="3" t="e">
        <f>IF(43&gt;='Hypothèses'!$D$42,1,0)</f>
      </c>
      <c r="AU55" s="3" t="e">
        <f>IF(44&gt;='Hypothèses'!$D$42,1,0)</f>
      </c>
      <c r="AV55" s="3" t="e">
        <f>IF(45&gt;='Hypothèses'!$D$42,1,0)</f>
      </c>
      <c r="AW55" s="3" t="e">
        <f>IF(46&gt;='Hypothèses'!$D$42,1,0)</f>
      </c>
      <c r="AX55" s="3" t="e">
        <f>IF(47&gt;='Hypothèses'!$D$42,1,0)</f>
      </c>
      <c r="AY55" s="3" t="e">
        <f>IF(48&gt;='Hypothèses'!$D$42,1,0)</f>
      </c>
      <c r="AZ55" s="3" t="e">
        <f>IF(49&gt;='Hypothèses'!$D$42,1,0)</f>
      </c>
      <c r="BA55" s="3" t="e">
        <f>IF(50&gt;='Hypothèses'!$D$42,1,0)</f>
      </c>
      <c r="BB55" s="3" t="e">
        <f>IF(51&gt;='Hypothèses'!$D$42,1,0)</f>
      </c>
      <c r="BC55" s="3" t="e">
        <f>IF(52&gt;='Hypothèses'!$D$42,1,0)</f>
      </c>
      <c r="BD55" s="3" t="e">
        <f>IF(53&gt;='Hypothèses'!$D$42,1,0)</f>
      </c>
      <c r="BE55" s="3" t="e">
        <f>IF(54&gt;='Hypothèses'!$D$42,1,0)</f>
      </c>
      <c r="BF55" s="3" t="e">
        <f>IF(55&gt;='Hypothèses'!$D$42,1,0)</f>
      </c>
      <c r="BG55" s="3" t="e">
        <f>IF(56&gt;='Hypothèses'!$D$42,1,0)</f>
      </c>
      <c r="BH55" s="3" t="e">
        <f>IF(57&gt;='Hypothèses'!$D$42,1,0)</f>
      </c>
      <c r="BI55" s="3" t="e">
        <f>IF(58&gt;='Hypothèses'!$D$42,1,0)</f>
      </c>
      <c r="BJ55" s="3" t="e">
        <f>IF(59&gt;='Hypothèses'!$D$42,1,0)</f>
      </c>
      <c r="BK55" s="3" t="e">
        <f>IF(60&gt;='Hypothèses'!$D$42,1,0)</f>
      </c>
      <c r="BL55" s="3" t="e">
        <f>O55</f>
      </c>
      <c r="BM55" s="3" t="e">
        <f>AA55</f>
      </c>
      <c r="BN55" s="3" t="e">
        <f>AM55</f>
      </c>
      <c r="BO55" s="3" t="e">
        <f>AY55</f>
      </c>
      <c r="BP55" s="3" t="e">
        <f>BK55</f>
      </c>
    </row>
    <row r="56">
      <c r="A56" t="str">
        <v>Commercial salarié n°16 — ancienneté</v>
      </c>
      <c r="B56" t="str">
        <v>mois</v>
      </c>
      <c r="C56" s="3">
        <v>0</v>
      </c>
      <c r="D56" s="3" t="e">
        <f>IF(D55=1,C56+1,0)</f>
      </c>
      <c r="E56" s="3" t="e">
        <f>IF(E55=1,D56+1,0)</f>
      </c>
      <c r="F56" s="3" t="e">
        <f>IF(F55=1,E56+1,0)</f>
      </c>
      <c r="G56" s="3" t="e">
        <f>IF(G55=1,F56+1,0)</f>
      </c>
      <c r="H56" s="3" t="e">
        <f>IF(H55=1,G56+1,0)</f>
      </c>
      <c r="I56" s="3" t="e">
        <f>IF(I55=1,H56+1,0)</f>
      </c>
      <c r="J56" s="3" t="e">
        <f>IF(J55=1,I56+1,0)</f>
      </c>
      <c r="K56" s="3" t="e">
        <f>IF(K55=1,J56+1,0)</f>
      </c>
      <c r="L56" s="3" t="e">
        <f>IF(L55=1,K56+1,0)</f>
      </c>
      <c r="M56" s="3" t="e">
        <f>IF(M55=1,L56+1,0)</f>
      </c>
      <c r="N56" s="3" t="e">
        <f>IF(N55=1,M56+1,0)</f>
      </c>
      <c r="O56" s="3" t="e">
        <f>IF(O55=1,N56+1,0)</f>
      </c>
      <c r="P56" s="3" t="e">
        <f>IF(P55=1,O56+1,0)</f>
      </c>
      <c r="Q56" s="3" t="e">
        <f>IF(Q55=1,P56+1,0)</f>
      </c>
      <c r="R56" s="3" t="e">
        <f>IF(R55=1,Q56+1,0)</f>
      </c>
      <c r="S56" s="3" t="e">
        <f>IF(S55=1,R56+1,0)</f>
      </c>
      <c r="T56" s="3" t="e">
        <f>IF(T55=1,S56+1,0)</f>
      </c>
      <c r="U56" s="3" t="e">
        <f>IF(U55=1,T56+1,0)</f>
      </c>
      <c r="V56" s="3" t="e">
        <f>IF(V55=1,U56+1,0)</f>
      </c>
      <c r="W56" s="3" t="e">
        <f>IF(W55=1,V56+1,0)</f>
      </c>
      <c r="X56" s="3" t="e">
        <f>IF(X55=1,W56+1,0)</f>
      </c>
      <c r="Y56" s="3" t="e">
        <f>IF(Y55=1,X56+1,0)</f>
      </c>
      <c r="Z56" s="3" t="e">
        <f>IF(Z55=1,Y56+1,0)</f>
      </c>
      <c r="AA56" s="3" t="e">
        <f>IF(AA55=1,Z56+1,0)</f>
      </c>
      <c r="AB56" s="3" t="e">
        <f>IF(AB55=1,AA56+1,0)</f>
      </c>
      <c r="AC56" s="3" t="e">
        <f>IF(AC55=1,AB56+1,0)</f>
      </c>
      <c r="AD56" s="3" t="e">
        <f>IF(AD55=1,AC56+1,0)</f>
      </c>
      <c r="AE56" s="3" t="e">
        <f>IF(AE55=1,AD56+1,0)</f>
      </c>
      <c r="AF56" s="3" t="e">
        <f>IF(AF55=1,AE56+1,0)</f>
      </c>
      <c r="AG56" s="3" t="e">
        <f>IF(AG55=1,AF56+1,0)</f>
      </c>
      <c r="AH56" s="3" t="e">
        <f>IF(AH55=1,AG56+1,0)</f>
      </c>
      <c r="AI56" s="3" t="e">
        <f>IF(AI55=1,AH56+1,0)</f>
      </c>
      <c r="AJ56" s="3" t="e">
        <f>IF(AJ55=1,AI56+1,0)</f>
      </c>
      <c r="AK56" s="3" t="e">
        <f>IF(AK55=1,AJ56+1,0)</f>
      </c>
      <c r="AL56" s="3" t="e">
        <f>IF(AL55=1,AK56+1,0)</f>
      </c>
      <c r="AM56" s="3" t="e">
        <f>IF(AM55=1,AL56+1,0)</f>
      </c>
      <c r="AN56" s="3" t="e">
        <f>IF(AN55=1,AM56+1,0)</f>
      </c>
      <c r="AO56" s="3" t="e">
        <f>IF(AO55=1,AN56+1,0)</f>
      </c>
      <c r="AP56" s="3" t="e">
        <f>IF(AP55=1,AO56+1,0)</f>
      </c>
      <c r="AQ56" s="3" t="e">
        <f>IF(AQ55=1,AP56+1,0)</f>
      </c>
      <c r="AR56" s="3" t="e">
        <f>IF(AR55=1,AQ56+1,0)</f>
      </c>
      <c r="AS56" s="3" t="e">
        <f>IF(AS55=1,AR56+1,0)</f>
      </c>
      <c r="AT56" s="3" t="e">
        <f>IF(AT55=1,AS56+1,0)</f>
      </c>
      <c r="AU56" s="3" t="e">
        <f>IF(AU55=1,AT56+1,0)</f>
      </c>
      <c r="AV56" s="3" t="e">
        <f>IF(AV55=1,AU56+1,0)</f>
      </c>
      <c r="AW56" s="3" t="e">
        <f>IF(AW55=1,AV56+1,0)</f>
      </c>
      <c r="AX56" s="3" t="e">
        <f>IF(AX55=1,AW56+1,0)</f>
      </c>
      <c r="AY56" s="3" t="e">
        <f>IF(AY55=1,AX56+1,0)</f>
      </c>
      <c r="AZ56" s="3" t="e">
        <f>IF(AZ55=1,AY56+1,0)</f>
      </c>
      <c r="BA56" s="3" t="e">
        <f>IF(BA55=1,AZ56+1,0)</f>
      </c>
      <c r="BB56" s="3" t="e">
        <f>IF(BB55=1,BA56+1,0)</f>
      </c>
      <c r="BC56" s="3" t="e">
        <f>IF(BC55=1,BB56+1,0)</f>
      </c>
      <c r="BD56" s="3" t="e">
        <f>IF(BD55=1,BC56+1,0)</f>
      </c>
      <c r="BE56" s="3" t="e">
        <f>IF(BE55=1,BD56+1,0)</f>
      </c>
      <c r="BF56" s="3" t="e">
        <f>IF(BF55=1,BE56+1,0)</f>
      </c>
      <c r="BG56" s="3" t="e">
        <f>IF(BG55=1,BF56+1,0)</f>
      </c>
      <c r="BH56" s="3" t="e">
        <f>IF(BH55=1,BG56+1,0)</f>
      </c>
      <c r="BI56" s="3" t="e">
        <f>IF(BI55=1,BH56+1,0)</f>
      </c>
      <c r="BJ56" s="3" t="e">
        <f>IF(BJ55=1,BI56+1,0)</f>
      </c>
      <c r="BK56" s="3" t="e">
        <f>IF(BK55=1,BJ56+1,0)</f>
      </c>
      <c r="BL56" s="3" t="e">
        <f>O56</f>
      </c>
      <c r="BM56" s="3" t="e">
        <f>AA56</f>
      </c>
      <c r="BN56" s="3" t="e">
        <f>AM56</f>
      </c>
      <c r="BO56" s="3" t="e">
        <f>AY56</f>
      </c>
      <c r="BP56" s="3" t="e">
        <f>BK56</f>
      </c>
    </row>
    <row r="57">
      <c r="A57" t="str">
        <v>Commercial salarié n°16 — productivité (ramp)</v>
      </c>
      <c r="B57" t="str">
        <v>%</v>
      </c>
      <c r="C57" s="2">
        <v>0</v>
      </c>
      <c r="D57" s="2" t="e">
        <f>IF(D55=1,MIN(1,D56/'Hypothèses'!$D$19),0)</f>
      </c>
      <c r="E57" s="2" t="e">
        <f>IF(E55=1,MIN(1,E56/'Hypothèses'!$D$19),0)</f>
      </c>
      <c r="F57" s="2" t="e">
        <f>IF(F55=1,MIN(1,F56/'Hypothèses'!$D$19),0)</f>
      </c>
      <c r="G57" s="2" t="e">
        <f>IF(G55=1,MIN(1,G56/'Hypothèses'!$D$19),0)</f>
      </c>
      <c r="H57" s="2" t="e">
        <f>IF(H55=1,MIN(1,H56/'Hypothèses'!$D$19),0)</f>
      </c>
      <c r="I57" s="2" t="e">
        <f>IF(I55=1,MIN(1,I56/'Hypothèses'!$D$19),0)</f>
      </c>
      <c r="J57" s="2" t="e">
        <f>IF(J55=1,MIN(1,J56/'Hypothèses'!$D$19),0)</f>
      </c>
      <c r="K57" s="2" t="e">
        <f>IF(K55=1,MIN(1,K56/'Hypothèses'!$D$19),0)</f>
      </c>
      <c r="L57" s="2" t="e">
        <f>IF(L55=1,MIN(1,L56/'Hypothèses'!$D$19),0)</f>
      </c>
      <c r="M57" s="2" t="e">
        <f>IF(M55=1,MIN(1,M56/'Hypothèses'!$D$19),0)</f>
      </c>
      <c r="N57" s="2" t="e">
        <f>IF(N55=1,MIN(1,N56/'Hypothèses'!$D$19),0)</f>
      </c>
      <c r="O57" s="2" t="e">
        <f>IF(O55=1,MIN(1,O56/'Hypothèses'!$D$19),0)</f>
      </c>
      <c r="P57" s="2" t="e">
        <f>IF(P55=1,MIN(1,P56/'Hypothèses'!$D$19),0)</f>
      </c>
      <c r="Q57" s="2" t="e">
        <f>IF(Q55=1,MIN(1,Q56/'Hypothèses'!$D$19),0)</f>
      </c>
      <c r="R57" s="2" t="e">
        <f>IF(R55=1,MIN(1,R56/'Hypothèses'!$D$19),0)</f>
      </c>
      <c r="S57" s="2" t="e">
        <f>IF(S55=1,MIN(1,S56/'Hypothèses'!$D$19),0)</f>
      </c>
      <c r="T57" s="2" t="e">
        <f>IF(T55=1,MIN(1,T56/'Hypothèses'!$D$19),0)</f>
      </c>
      <c r="U57" s="2" t="e">
        <f>IF(U55=1,MIN(1,U56/'Hypothèses'!$D$19),0)</f>
      </c>
      <c r="V57" s="2" t="e">
        <f>IF(V55=1,MIN(1,V56/'Hypothèses'!$D$19),0)</f>
      </c>
      <c r="W57" s="2" t="e">
        <f>IF(W55=1,MIN(1,W56/'Hypothèses'!$D$19),0)</f>
      </c>
      <c r="X57" s="2" t="e">
        <f>IF(X55=1,MIN(1,X56/'Hypothèses'!$D$19),0)</f>
      </c>
      <c r="Y57" s="2" t="e">
        <f>IF(Y55=1,MIN(1,Y56/'Hypothèses'!$D$19),0)</f>
      </c>
      <c r="Z57" s="2" t="e">
        <f>IF(Z55=1,MIN(1,Z56/'Hypothèses'!$D$19),0)</f>
      </c>
      <c r="AA57" s="2" t="e">
        <f>IF(AA55=1,MIN(1,AA56/'Hypothèses'!$D$19),0)</f>
      </c>
      <c r="AB57" s="2" t="e">
        <f>IF(AB55=1,MIN(1,AB56/'Hypothèses'!$D$19),0)</f>
      </c>
      <c r="AC57" s="2" t="e">
        <f>IF(AC55=1,MIN(1,AC56/'Hypothèses'!$D$19),0)</f>
      </c>
      <c r="AD57" s="2" t="e">
        <f>IF(AD55=1,MIN(1,AD56/'Hypothèses'!$D$19),0)</f>
      </c>
      <c r="AE57" s="2" t="e">
        <f>IF(AE55=1,MIN(1,AE56/'Hypothèses'!$D$19),0)</f>
      </c>
      <c r="AF57" s="2" t="e">
        <f>IF(AF55=1,MIN(1,AF56/'Hypothèses'!$D$19),0)</f>
      </c>
      <c r="AG57" s="2" t="e">
        <f>IF(AG55=1,MIN(1,AG56/'Hypothèses'!$D$19),0)</f>
      </c>
      <c r="AH57" s="2" t="e">
        <f>IF(AH55=1,MIN(1,AH56/'Hypothèses'!$D$19),0)</f>
      </c>
      <c r="AI57" s="2" t="e">
        <f>IF(AI55=1,MIN(1,AI56/'Hypothèses'!$D$19),0)</f>
      </c>
      <c r="AJ57" s="2" t="e">
        <f>IF(AJ55=1,MIN(1,AJ56/'Hypothèses'!$D$19),0)</f>
      </c>
      <c r="AK57" s="2" t="e">
        <f>IF(AK55=1,MIN(1,AK56/'Hypothèses'!$D$19),0)</f>
      </c>
      <c r="AL57" s="2" t="e">
        <f>IF(AL55=1,MIN(1,AL56/'Hypothèses'!$D$19),0)</f>
      </c>
      <c r="AM57" s="2" t="e">
        <f>IF(AM55=1,MIN(1,AM56/'Hypothèses'!$D$19),0)</f>
      </c>
      <c r="AN57" s="2" t="e">
        <f>IF(AN55=1,MIN(1,AN56/'Hypothèses'!$D$19),0)</f>
      </c>
      <c r="AO57" s="2" t="e">
        <f>IF(AO55=1,MIN(1,AO56/'Hypothèses'!$D$19),0)</f>
      </c>
      <c r="AP57" s="2" t="e">
        <f>IF(AP55=1,MIN(1,AP56/'Hypothèses'!$D$19),0)</f>
      </c>
      <c r="AQ57" s="2" t="e">
        <f>IF(AQ55=1,MIN(1,AQ56/'Hypothèses'!$D$19),0)</f>
      </c>
      <c r="AR57" s="2" t="e">
        <f>IF(AR55=1,MIN(1,AR56/'Hypothèses'!$D$19),0)</f>
      </c>
      <c r="AS57" s="2" t="e">
        <f>IF(AS55=1,MIN(1,AS56/'Hypothèses'!$D$19),0)</f>
      </c>
      <c r="AT57" s="2" t="e">
        <f>IF(AT55=1,MIN(1,AT56/'Hypothèses'!$D$19),0)</f>
      </c>
      <c r="AU57" s="2" t="e">
        <f>IF(AU55=1,MIN(1,AU56/'Hypothèses'!$D$19),0)</f>
      </c>
      <c r="AV57" s="2" t="e">
        <f>IF(AV55=1,MIN(1,AV56/'Hypothèses'!$D$19),0)</f>
      </c>
      <c r="AW57" s="2" t="e">
        <f>IF(AW55=1,MIN(1,AW56/'Hypothèses'!$D$19),0)</f>
      </c>
      <c r="AX57" s="2" t="e">
        <f>IF(AX55=1,MIN(1,AX56/'Hypothèses'!$D$19),0)</f>
      </c>
      <c r="AY57" s="2" t="e">
        <f>IF(AY55=1,MIN(1,AY56/'Hypothèses'!$D$19),0)</f>
      </c>
      <c r="AZ57" s="2" t="e">
        <f>IF(AZ55=1,MIN(1,AZ56/'Hypothèses'!$D$19),0)</f>
      </c>
      <c r="BA57" s="2" t="e">
        <f>IF(BA55=1,MIN(1,BA56/'Hypothèses'!$D$19),0)</f>
      </c>
      <c r="BB57" s="2" t="e">
        <f>IF(BB55=1,MIN(1,BB56/'Hypothèses'!$D$19),0)</f>
      </c>
      <c r="BC57" s="2" t="e">
        <f>IF(BC55=1,MIN(1,BC56/'Hypothèses'!$D$19),0)</f>
      </c>
      <c r="BD57" s="2" t="e">
        <f>IF(BD55=1,MIN(1,BD56/'Hypothèses'!$D$19),0)</f>
      </c>
      <c r="BE57" s="2" t="e">
        <f>IF(BE55=1,MIN(1,BE56/'Hypothèses'!$D$19),0)</f>
      </c>
      <c r="BF57" s="2" t="e">
        <f>IF(BF55=1,MIN(1,BF56/'Hypothèses'!$D$19),0)</f>
      </c>
      <c r="BG57" s="2" t="e">
        <f>IF(BG55=1,MIN(1,BG56/'Hypothèses'!$D$19),0)</f>
      </c>
      <c r="BH57" s="2" t="e">
        <f>IF(BH55=1,MIN(1,BH56/'Hypothèses'!$D$19),0)</f>
      </c>
      <c r="BI57" s="2" t="e">
        <f>IF(BI55=1,MIN(1,BI56/'Hypothèses'!$D$19),0)</f>
      </c>
      <c r="BJ57" s="2" t="e">
        <f>IF(BJ55=1,MIN(1,BJ56/'Hypothèses'!$D$19),0)</f>
      </c>
      <c r="BK57" s="2" t="e">
        <f>IF(BK55=1,MIN(1,BK56/'Hypothèses'!$D$19),0)</f>
      </c>
      <c r="BL57" s="2" t="e">
        <f>AVERAGE(D57:O57)</f>
      </c>
      <c r="BM57" s="2" t="e">
        <f>AVERAGE(P57:AA57)</f>
      </c>
      <c r="BN57" s="2" t="e">
        <f>AVERAGE(AB57:AM57)</f>
      </c>
      <c r="BO57" s="2" t="e">
        <f>AVERAGE(AN57:AY57)</f>
      </c>
      <c r="BP57" s="2" t="e">
        <f>AVERAGE(AZ57:BK57)</f>
      </c>
    </row>
    <row r="58">
      <c r="A58" t="str">
        <v>Commercial salarié n°17 en poste (1/0)</v>
      </c>
      <c r="B58" t="str">
        <v>0/1</v>
      </c>
      <c r="C58" s="3">
        <v>0</v>
      </c>
      <c r="D58" s="3" t="e">
        <f>IF(1&gt;='Hypothèses'!$D$43,1,0)</f>
      </c>
      <c r="E58" s="3" t="e">
        <f>IF(2&gt;='Hypothèses'!$D$43,1,0)</f>
      </c>
      <c r="F58" s="3" t="e">
        <f>IF(3&gt;='Hypothèses'!$D$43,1,0)</f>
      </c>
      <c r="G58" s="3" t="e">
        <f>IF(4&gt;='Hypothèses'!$D$43,1,0)</f>
      </c>
      <c r="H58" s="3" t="e">
        <f>IF(5&gt;='Hypothèses'!$D$43,1,0)</f>
      </c>
      <c r="I58" s="3" t="e">
        <f>IF(6&gt;='Hypothèses'!$D$43,1,0)</f>
      </c>
      <c r="J58" s="3" t="e">
        <f>IF(7&gt;='Hypothèses'!$D$43,1,0)</f>
      </c>
      <c r="K58" s="3" t="e">
        <f>IF(8&gt;='Hypothèses'!$D$43,1,0)</f>
      </c>
      <c r="L58" s="3" t="e">
        <f>IF(9&gt;='Hypothèses'!$D$43,1,0)</f>
      </c>
      <c r="M58" s="3" t="e">
        <f>IF(10&gt;='Hypothèses'!$D$43,1,0)</f>
      </c>
      <c r="N58" s="3" t="e">
        <f>IF(11&gt;='Hypothèses'!$D$43,1,0)</f>
      </c>
      <c r="O58" s="3" t="e">
        <f>IF(12&gt;='Hypothèses'!$D$43,1,0)</f>
      </c>
      <c r="P58" s="3" t="e">
        <f>IF(13&gt;='Hypothèses'!$D$43,1,0)</f>
      </c>
      <c r="Q58" s="3" t="e">
        <f>IF(14&gt;='Hypothèses'!$D$43,1,0)</f>
      </c>
      <c r="R58" s="3" t="e">
        <f>IF(15&gt;='Hypothèses'!$D$43,1,0)</f>
      </c>
      <c r="S58" s="3" t="e">
        <f>IF(16&gt;='Hypothèses'!$D$43,1,0)</f>
      </c>
      <c r="T58" s="3" t="e">
        <f>IF(17&gt;='Hypothèses'!$D$43,1,0)</f>
      </c>
      <c r="U58" s="3" t="e">
        <f>IF(18&gt;='Hypothèses'!$D$43,1,0)</f>
      </c>
      <c r="V58" s="3" t="e">
        <f>IF(19&gt;='Hypothèses'!$D$43,1,0)</f>
      </c>
      <c r="W58" s="3" t="e">
        <f>IF(20&gt;='Hypothèses'!$D$43,1,0)</f>
      </c>
      <c r="X58" s="3" t="e">
        <f>IF(21&gt;='Hypothèses'!$D$43,1,0)</f>
      </c>
      <c r="Y58" s="3" t="e">
        <f>IF(22&gt;='Hypothèses'!$D$43,1,0)</f>
      </c>
      <c r="Z58" s="3" t="e">
        <f>IF(23&gt;='Hypothèses'!$D$43,1,0)</f>
      </c>
      <c r="AA58" s="3" t="e">
        <f>IF(24&gt;='Hypothèses'!$D$43,1,0)</f>
      </c>
      <c r="AB58" s="3" t="e">
        <f>IF(25&gt;='Hypothèses'!$D$43,1,0)</f>
      </c>
      <c r="AC58" s="3" t="e">
        <f>IF(26&gt;='Hypothèses'!$D$43,1,0)</f>
      </c>
      <c r="AD58" s="3" t="e">
        <f>IF(27&gt;='Hypothèses'!$D$43,1,0)</f>
      </c>
      <c r="AE58" s="3" t="e">
        <f>IF(28&gt;='Hypothèses'!$D$43,1,0)</f>
      </c>
      <c r="AF58" s="3" t="e">
        <f>IF(29&gt;='Hypothèses'!$D$43,1,0)</f>
      </c>
      <c r="AG58" s="3" t="e">
        <f>IF(30&gt;='Hypothèses'!$D$43,1,0)</f>
      </c>
      <c r="AH58" s="3" t="e">
        <f>IF(31&gt;='Hypothèses'!$D$43,1,0)</f>
      </c>
      <c r="AI58" s="3" t="e">
        <f>IF(32&gt;='Hypothèses'!$D$43,1,0)</f>
      </c>
      <c r="AJ58" s="3" t="e">
        <f>IF(33&gt;='Hypothèses'!$D$43,1,0)</f>
      </c>
      <c r="AK58" s="3" t="e">
        <f>IF(34&gt;='Hypothèses'!$D$43,1,0)</f>
      </c>
      <c r="AL58" s="3" t="e">
        <f>IF(35&gt;='Hypothèses'!$D$43,1,0)</f>
      </c>
      <c r="AM58" s="3" t="e">
        <f>IF(36&gt;='Hypothèses'!$D$43,1,0)</f>
      </c>
      <c r="AN58" s="3" t="e">
        <f>IF(37&gt;='Hypothèses'!$D$43,1,0)</f>
      </c>
      <c r="AO58" s="3" t="e">
        <f>IF(38&gt;='Hypothèses'!$D$43,1,0)</f>
      </c>
      <c r="AP58" s="3" t="e">
        <f>IF(39&gt;='Hypothèses'!$D$43,1,0)</f>
      </c>
      <c r="AQ58" s="3" t="e">
        <f>IF(40&gt;='Hypothèses'!$D$43,1,0)</f>
      </c>
      <c r="AR58" s="3" t="e">
        <f>IF(41&gt;='Hypothèses'!$D$43,1,0)</f>
      </c>
      <c r="AS58" s="3" t="e">
        <f>IF(42&gt;='Hypothèses'!$D$43,1,0)</f>
      </c>
      <c r="AT58" s="3" t="e">
        <f>IF(43&gt;='Hypothèses'!$D$43,1,0)</f>
      </c>
      <c r="AU58" s="3" t="e">
        <f>IF(44&gt;='Hypothèses'!$D$43,1,0)</f>
      </c>
      <c r="AV58" s="3" t="e">
        <f>IF(45&gt;='Hypothèses'!$D$43,1,0)</f>
      </c>
      <c r="AW58" s="3" t="e">
        <f>IF(46&gt;='Hypothèses'!$D$43,1,0)</f>
      </c>
      <c r="AX58" s="3" t="e">
        <f>IF(47&gt;='Hypothèses'!$D$43,1,0)</f>
      </c>
      <c r="AY58" s="3" t="e">
        <f>IF(48&gt;='Hypothèses'!$D$43,1,0)</f>
      </c>
      <c r="AZ58" s="3" t="e">
        <f>IF(49&gt;='Hypothèses'!$D$43,1,0)</f>
      </c>
      <c r="BA58" s="3" t="e">
        <f>IF(50&gt;='Hypothèses'!$D$43,1,0)</f>
      </c>
      <c r="BB58" s="3" t="e">
        <f>IF(51&gt;='Hypothèses'!$D$43,1,0)</f>
      </c>
      <c r="BC58" s="3" t="e">
        <f>IF(52&gt;='Hypothèses'!$D$43,1,0)</f>
      </c>
      <c r="BD58" s="3" t="e">
        <f>IF(53&gt;='Hypothèses'!$D$43,1,0)</f>
      </c>
      <c r="BE58" s="3" t="e">
        <f>IF(54&gt;='Hypothèses'!$D$43,1,0)</f>
      </c>
      <c r="BF58" s="3" t="e">
        <f>IF(55&gt;='Hypothèses'!$D$43,1,0)</f>
      </c>
      <c r="BG58" s="3" t="e">
        <f>IF(56&gt;='Hypothèses'!$D$43,1,0)</f>
      </c>
      <c r="BH58" s="3" t="e">
        <f>IF(57&gt;='Hypothèses'!$D$43,1,0)</f>
      </c>
      <c r="BI58" s="3" t="e">
        <f>IF(58&gt;='Hypothèses'!$D$43,1,0)</f>
      </c>
      <c r="BJ58" s="3" t="e">
        <f>IF(59&gt;='Hypothèses'!$D$43,1,0)</f>
      </c>
      <c r="BK58" s="3" t="e">
        <f>IF(60&gt;='Hypothèses'!$D$43,1,0)</f>
      </c>
      <c r="BL58" s="3" t="e">
        <f>O58</f>
      </c>
      <c r="BM58" s="3" t="e">
        <f>AA58</f>
      </c>
      <c r="BN58" s="3" t="e">
        <f>AM58</f>
      </c>
      <c r="BO58" s="3" t="e">
        <f>AY58</f>
      </c>
      <c r="BP58" s="3" t="e">
        <f>BK58</f>
      </c>
    </row>
    <row r="59">
      <c r="A59" t="str">
        <v>Commercial salarié n°17 — ancienneté</v>
      </c>
      <c r="B59" t="str">
        <v>mois</v>
      </c>
      <c r="C59" s="3">
        <v>0</v>
      </c>
      <c r="D59" s="3" t="e">
        <f>IF(D58=1,C59+1,0)</f>
      </c>
      <c r="E59" s="3" t="e">
        <f>IF(E58=1,D59+1,0)</f>
      </c>
      <c r="F59" s="3" t="e">
        <f>IF(F58=1,E59+1,0)</f>
      </c>
      <c r="G59" s="3" t="e">
        <f>IF(G58=1,F59+1,0)</f>
      </c>
      <c r="H59" s="3" t="e">
        <f>IF(H58=1,G59+1,0)</f>
      </c>
      <c r="I59" s="3" t="e">
        <f>IF(I58=1,H59+1,0)</f>
      </c>
      <c r="J59" s="3" t="e">
        <f>IF(J58=1,I59+1,0)</f>
      </c>
      <c r="K59" s="3" t="e">
        <f>IF(K58=1,J59+1,0)</f>
      </c>
      <c r="L59" s="3" t="e">
        <f>IF(L58=1,K59+1,0)</f>
      </c>
      <c r="M59" s="3" t="e">
        <f>IF(M58=1,L59+1,0)</f>
      </c>
      <c r="N59" s="3" t="e">
        <f>IF(N58=1,M59+1,0)</f>
      </c>
      <c r="O59" s="3" t="e">
        <f>IF(O58=1,N59+1,0)</f>
      </c>
      <c r="P59" s="3" t="e">
        <f>IF(P58=1,O59+1,0)</f>
      </c>
      <c r="Q59" s="3" t="e">
        <f>IF(Q58=1,P59+1,0)</f>
      </c>
      <c r="R59" s="3" t="e">
        <f>IF(R58=1,Q59+1,0)</f>
      </c>
      <c r="S59" s="3" t="e">
        <f>IF(S58=1,R59+1,0)</f>
      </c>
      <c r="T59" s="3" t="e">
        <f>IF(T58=1,S59+1,0)</f>
      </c>
      <c r="U59" s="3" t="e">
        <f>IF(U58=1,T59+1,0)</f>
      </c>
      <c r="V59" s="3" t="e">
        <f>IF(V58=1,U59+1,0)</f>
      </c>
      <c r="W59" s="3" t="e">
        <f>IF(W58=1,V59+1,0)</f>
      </c>
      <c r="X59" s="3" t="e">
        <f>IF(X58=1,W59+1,0)</f>
      </c>
      <c r="Y59" s="3" t="e">
        <f>IF(Y58=1,X59+1,0)</f>
      </c>
      <c r="Z59" s="3" t="e">
        <f>IF(Z58=1,Y59+1,0)</f>
      </c>
      <c r="AA59" s="3" t="e">
        <f>IF(AA58=1,Z59+1,0)</f>
      </c>
      <c r="AB59" s="3" t="e">
        <f>IF(AB58=1,AA59+1,0)</f>
      </c>
      <c r="AC59" s="3" t="e">
        <f>IF(AC58=1,AB59+1,0)</f>
      </c>
      <c r="AD59" s="3" t="e">
        <f>IF(AD58=1,AC59+1,0)</f>
      </c>
      <c r="AE59" s="3" t="e">
        <f>IF(AE58=1,AD59+1,0)</f>
      </c>
      <c r="AF59" s="3" t="e">
        <f>IF(AF58=1,AE59+1,0)</f>
      </c>
      <c r="AG59" s="3" t="e">
        <f>IF(AG58=1,AF59+1,0)</f>
      </c>
      <c r="AH59" s="3" t="e">
        <f>IF(AH58=1,AG59+1,0)</f>
      </c>
      <c r="AI59" s="3" t="e">
        <f>IF(AI58=1,AH59+1,0)</f>
      </c>
      <c r="AJ59" s="3" t="e">
        <f>IF(AJ58=1,AI59+1,0)</f>
      </c>
      <c r="AK59" s="3" t="e">
        <f>IF(AK58=1,AJ59+1,0)</f>
      </c>
      <c r="AL59" s="3" t="e">
        <f>IF(AL58=1,AK59+1,0)</f>
      </c>
      <c r="AM59" s="3" t="e">
        <f>IF(AM58=1,AL59+1,0)</f>
      </c>
      <c r="AN59" s="3" t="e">
        <f>IF(AN58=1,AM59+1,0)</f>
      </c>
      <c r="AO59" s="3" t="e">
        <f>IF(AO58=1,AN59+1,0)</f>
      </c>
      <c r="AP59" s="3" t="e">
        <f>IF(AP58=1,AO59+1,0)</f>
      </c>
      <c r="AQ59" s="3" t="e">
        <f>IF(AQ58=1,AP59+1,0)</f>
      </c>
      <c r="AR59" s="3" t="e">
        <f>IF(AR58=1,AQ59+1,0)</f>
      </c>
      <c r="AS59" s="3" t="e">
        <f>IF(AS58=1,AR59+1,0)</f>
      </c>
      <c r="AT59" s="3" t="e">
        <f>IF(AT58=1,AS59+1,0)</f>
      </c>
      <c r="AU59" s="3" t="e">
        <f>IF(AU58=1,AT59+1,0)</f>
      </c>
      <c r="AV59" s="3" t="e">
        <f>IF(AV58=1,AU59+1,0)</f>
      </c>
      <c r="AW59" s="3" t="e">
        <f>IF(AW58=1,AV59+1,0)</f>
      </c>
      <c r="AX59" s="3" t="e">
        <f>IF(AX58=1,AW59+1,0)</f>
      </c>
      <c r="AY59" s="3" t="e">
        <f>IF(AY58=1,AX59+1,0)</f>
      </c>
      <c r="AZ59" s="3" t="e">
        <f>IF(AZ58=1,AY59+1,0)</f>
      </c>
      <c r="BA59" s="3" t="e">
        <f>IF(BA58=1,AZ59+1,0)</f>
      </c>
      <c r="BB59" s="3" t="e">
        <f>IF(BB58=1,BA59+1,0)</f>
      </c>
      <c r="BC59" s="3" t="e">
        <f>IF(BC58=1,BB59+1,0)</f>
      </c>
      <c r="BD59" s="3" t="e">
        <f>IF(BD58=1,BC59+1,0)</f>
      </c>
      <c r="BE59" s="3" t="e">
        <f>IF(BE58=1,BD59+1,0)</f>
      </c>
      <c r="BF59" s="3" t="e">
        <f>IF(BF58=1,BE59+1,0)</f>
      </c>
      <c r="BG59" s="3" t="e">
        <f>IF(BG58=1,BF59+1,0)</f>
      </c>
      <c r="BH59" s="3" t="e">
        <f>IF(BH58=1,BG59+1,0)</f>
      </c>
      <c r="BI59" s="3" t="e">
        <f>IF(BI58=1,BH59+1,0)</f>
      </c>
      <c r="BJ59" s="3" t="e">
        <f>IF(BJ58=1,BI59+1,0)</f>
      </c>
      <c r="BK59" s="3" t="e">
        <f>IF(BK58=1,BJ59+1,0)</f>
      </c>
      <c r="BL59" s="3" t="e">
        <f>O59</f>
      </c>
      <c r="BM59" s="3" t="e">
        <f>AA59</f>
      </c>
      <c r="BN59" s="3" t="e">
        <f>AM59</f>
      </c>
      <c r="BO59" s="3" t="e">
        <f>AY59</f>
      </c>
      <c r="BP59" s="3" t="e">
        <f>BK59</f>
      </c>
    </row>
    <row r="60">
      <c r="A60" t="str">
        <v>Commercial salarié n°17 — productivité (ramp)</v>
      </c>
      <c r="B60" t="str">
        <v>%</v>
      </c>
      <c r="C60" s="2">
        <v>0</v>
      </c>
      <c r="D60" s="2" t="e">
        <f>IF(D58=1,MIN(1,D59/'Hypothèses'!$D$19),0)</f>
      </c>
      <c r="E60" s="2" t="e">
        <f>IF(E58=1,MIN(1,E59/'Hypothèses'!$D$19),0)</f>
      </c>
      <c r="F60" s="2" t="e">
        <f>IF(F58=1,MIN(1,F59/'Hypothèses'!$D$19),0)</f>
      </c>
      <c r="G60" s="2" t="e">
        <f>IF(G58=1,MIN(1,G59/'Hypothèses'!$D$19),0)</f>
      </c>
      <c r="H60" s="2" t="e">
        <f>IF(H58=1,MIN(1,H59/'Hypothèses'!$D$19),0)</f>
      </c>
      <c r="I60" s="2" t="e">
        <f>IF(I58=1,MIN(1,I59/'Hypothèses'!$D$19),0)</f>
      </c>
      <c r="J60" s="2" t="e">
        <f>IF(J58=1,MIN(1,J59/'Hypothèses'!$D$19),0)</f>
      </c>
      <c r="K60" s="2" t="e">
        <f>IF(K58=1,MIN(1,K59/'Hypothèses'!$D$19),0)</f>
      </c>
      <c r="L60" s="2" t="e">
        <f>IF(L58=1,MIN(1,L59/'Hypothèses'!$D$19),0)</f>
      </c>
      <c r="M60" s="2" t="e">
        <f>IF(M58=1,MIN(1,M59/'Hypothèses'!$D$19),0)</f>
      </c>
      <c r="N60" s="2" t="e">
        <f>IF(N58=1,MIN(1,N59/'Hypothèses'!$D$19),0)</f>
      </c>
      <c r="O60" s="2" t="e">
        <f>IF(O58=1,MIN(1,O59/'Hypothèses'!$D$19),0)</f>
      </c>
      <c r="P60" s="2" t="e">
        <f>IF(P58=1,MIN(1,P59/'Hypothèses'!$D$19),0)</f>
      </c>
      <c r="Q60" s="2" t="e">
        <f>IF(Q58=1,MIN(1,Q59/'Hypothèses'!$D$19),0)</f>
      </c>
      <c r="R60" s="2" t="e">
        <f>IF(R58=1,MIN(1,R59/'Hypothèses'!$D$19),0)</f>
      </c>
      <c r="S60" s="2" t="e">
        <f>IF(S58=1,MIN(1,S59/'Hypothèses'!$D$19),0)</f>
      </c>
      <c r="T60" s="2" t="e">
        <f>IF(T58=1,MIN(1,T59/'Hypothèses'!$D$19),0)</f>
      </c>
      <c r="U60" s="2" t="e">
        <f>IF(U58=1,MIN(1,U59/'Hypothèses'!$D$19),0)</f>
      </c>
      <c r="V60" s="2" t="e">
        <f>IF(V58=1,MIN(1,V59/'Hypothèses'!$D$19),0)</f>
      </c>
      <c r="W60" s="2" t="e">
        <f>IF(W58=1,MIN(1,W59/'Hypothèses'!$D$19),0)</f>
      </c>
      <c r="X60" s="2" t="e">
        <f>IF(X58=1,MIN(1,X59/'Hypothèses'!$D$19),0)</f>
      </c>
      <c r="Y60" s="2" t="e">
        <f>IF(Y58=1,MIN(1,Y59/'Hypothèses'!$D$19),0)</f>
      </c>
      <c r="Z60" s="2" t="e">
        <f>IF(Z58=1,MIN(1,Z59/'Hypothèses'!$D$19),0)</f>
      </c>
      <c r="AA60" s="2" t="e">
        <f>IF(AA58=1,MIN(1,AA59/'Hypothèses'!$D$19),0)</f>
      </c>
      <c r="AB60" s="2" t="e">
        <f>IF(AB58=1,MIN(1,AB59/'Hypothèses'!$D$19),0)</f>
      </c>
      <c r="AC60" s="2" t="e">
        <f>IF(AC58=1,MIN(1,AC59/'Hypothèses'!$D$19),0)</f>
      </c>
      <c r="AD60" s="2" t="e">
        <f>IF(AD58=1,MIN(1,AD59/'Hypothèses'!$D$19),0)</f>
      </c>
      <c r="AE60" s="2" t="e">
        <f>IF(AE58=1,MIN(1,AE59/'Hypothèses'!$D$19),0)</f>
      </c>
      <c r="AF60" s="2" t="e">
        <f>IF(AF58=1,MIN(1,AF59/'Hypothèses'!$D$19),0)</f>
      </c>
      <c r="AG60" s="2" t="e">
        <f>IF(AG58=1,MIN(1,AG59/'Hypothèses'!$D$19),0)</f>
      </c>
      <c r="AH60" s="2" t="e">
        <f>IF(AH58=1,MIN(1,AH59/'Hypothèses'!$D$19),0)</f>
      </c>
      <c r="AI60" s="2" t="e">
        <f>IF(AI58=1,MIN(1,AI59/'Hypothèses'!$D$19),0)</f>
      </c>
      <c r="AJ60" s="2" t="e">
        <f>IF(AJ58=1,MIN(1,AJ59/'Hypothèses'!$D$19),0)</f>
      </c>
      <c r="AK60" s="2" t="e">
        <f>IF(AK58=1,MIN(1,AK59/'Hypothèses'!$D$19),0)</f>
      </c>
      <c r="AL60" s="2" t="e">
        <f>IF(AL58=1,MIN(1,AL59/'Hypothèses'!$D$19),0)</f>
      </c>
      <c r="AM60" s="2" t="e">
        <f>IF(AM58=1,MIN(1,AM59/'Hypothèses'!$D$19),0)</f>
      </c>
      <c r="AN60" s="2" t="e">
        <f>IF(AN58=1,MIN(1,AN59/'Hypothèses'!$D$19),0)</f>
      </c>
      <c r="AO60" s="2" t="e">
        <f>IF(AO58=1,MIN(1,AO59/'Hypothèses'!$D$19),0)</f>
      </c>
      <c r="AP60" s="2" t="e">
        <f>IF(AP58=1,MIN(1,AP59/'Hypothèses'!$D$19),0)</f>
      </c>
      <c r="AQ60" s="2" t="e">
        <f>IF(AQ58=1,MIN(1,AQ59/'Hypothèses'!$D$19),0)</f>
      </c>
      <c r="AR60" s="2" t="e">
        <f>IF(AR58=1,MIN(1,AR59/'Hypothèses'!$D$19),0)</f>
      </c>
      <c r="AS60" s="2" t="e">
        <f>IF(AS58=1,MIN(1,AS59/'Hypothèses'!$D$19),0)</f>
      </c>
      <c r="AT60" s="2" t="e">
        <f>IF(AT58=1,MIN(1,AT59/'Hypothèses'!$D$19),0)</f>
      </c>
      <c r="AU60" s="2" t="e">
        <f>IF(AU58=1,MIN(1,AU59/'Hypothèses'!$D$19),0)</f>
      </c>
      <c r="AV60" s="2" t="e">
        <f>IF(AV58=1,MIN(1,AV59/'Hypothèses'!$D$19),0)</f>
      </c>
      <c r="AW60" s="2" t="e">
        <f>IF(AW58=1,MIN(1,AW59/'Hypothèses'!$D$19),0)</f>
      </c>
      <c r="AX60" s="2" t="e">
        <f>IF(AX58=1,MIN(1,AX59/'Hypothèses'!$D$19),0)</f>
      </c>
      <c r="AY60" s="2" t="e">
        <f>IF(AY58=1,MIN(1,AY59/'Hypothèses'!$D$19),0)</f>
      </c>
      <c r="AZ60" s="2" t="e">
        <f>IF(AZ58=1,MIN(1,AZ59/'Hypothèses'!$D$19),0)</f>
      </c>
      <c r="BA60" s="2" t="e">
        <f>IF(BA58=1,MIN(1,BA59/'Hypothèses'!$D$19),0)</f>
      </c>
      <c r="BB60" s="2" t="e">
        <f>IF(BB58=1,MIN(1,BB59/'Hypothèses'!$D$19),0)</f>
      </c>
      <c r="BC60" s="2" t="e">
        <f>IF(BC58=1,MIN(1,BC59/'Hypothèses'!$D$19),0)</f>
      </c>
      <c r="BD60" s="2" t="e">
        <f>IF(BD58=1,MIN(1,BD59/'Hypothèses'!$D$19),0)</f>
      </c>
      <c r="BE60" s="2" t="e">
        <f>IF(BE58=1,MIN(1,BE59/'Hypothèses'!$D$19),0)</f>
      </c>
      <c r="BF60" s="2" t="e">
        <f>IF(BF58=1,MIN(1,BF59/'Hypothèses'!$D$19),0)</f>
      </c>
      <c r="BG60" s="2" t="e">
        <f>IF(BG58=1,MIN(1,BG59/'Hypothèses'!$D$19),0)</f>
      </c>
      <c r="BH60" s="2" t="e">
        <f>IF(BH58=1,MIN(1,BH59/'Hypothèses'!$D$19),0)</f>
      </c>
      <c r="BI60" s="2" t="e">
        <f>IF(BI58=1,MIN(1,BI59/'Hypothèses'!$D$19),0)</f>
      </c>
      <c r="BJ60" s="2" t="e">
        <f>IF(BJ58=1,MIN(1,BJ59/'Hypothèses'!$D$19),0)</f>
      </c>
      <c r="BK60" s="2" t="e">
        <f>IF(BK58=1,MIN(1,BK59/'Hypothèses'!$D$19),0)</f>
      </c>
      <c r="BL60" s="2" t="e">
        <f>AVERAGE(D60:O60)</f>
      </c>
      <c r="BM60" s="2" t="e">
        <f>AVERAGE(P60:AA60)</f>
      </c>
      <c r="BN60" s="2" t="e">
        <f>AVERAGE(AB60:AM60)</f>
      </c>
      <c r="BO60" s="2" t="e">
        <f>AVERAGE(AN60:AY60)</f>
      </c>
      <c r="BP60" s="2" t="e">
        <f>AVERAGE(AZ60:BK60)</f>
      </c>
    </row>
    <row r="61">
      <c r="A61" t="str">
        <v>Commercial salarié n°18 en poste (1/0)</v>
      </c>
      <c r="B61" t="str">
        <v>0/1</v>
      </c>
      <c r="C61" s="3">
        <v>0</v>
      </c>
      <c r="D61" s="3" t="e">
        <f>IF(1&gt;='Hypothèses'!$D$44,1,0)</f>
      </c>
      <c r="E61" s="3" t="e">
        <f>IF(2&gt;='Hypothèses'!$D$44,1,0)</f>
      </c>
      <c r="F61" s="3" t="e">
        <f>IF(3&gt;='Hypothèses'!$D$44,1,0)</f>
      </c>
      <c r="G61" s="3" t="e">
        <f>IF(4&gt;='Hypothèses'!$D$44,1,0)</f>
      </c>
      <c r="H61" s="3" t="e">
        <f>IF(5&gt;='Hypothèses'!$D$44,1,0)</f>
      </c>
      <c r="I61" s="3" t="e">
        <f>IF(6&gt;='Hypothèses'!$D$44,1,0)</f>
      </c>
      <c r="J61" s="3" t="e">
        <f>IF(7&gt;='Hypothèses'!$D$44,1,0)</f>
      </c>
      <c r="K61" s="3" t="e">
        <f>IF(8&gt;='Hypothèses'!$D$44,1,0)</f>
      </c>
      <c r="L61" s="3" t="e">
        <f>IF(9&gt;='Hypothèses'!$D$44,1,0)</f>
      </c>
      <c r="M61" s="3" t="e">
        <f>IF(10&gt;='Hypothèses'!$D$44,1,0)</f>
      </c>
      <c r="N61" s="3" t="e">
        <f>IF(11&gt;='Hypothèses'!$D$44,1,0)</f>
      </c>
      <c r="O61" s="3" t="e">
        <f>IF(12&gt;='Hypothèses'!$D$44,1,0)</f>
      </c>
      <c r="P61" s="3" t="e">
        <f>IF(13&gt;='Hypothèses'!$D$44,1,0)</f>
      </c>
      <c r="Q61" s="3" t="e">
        <f>IF(14&gt;='Hypothèses'!$D$44,1,0)</f>
      </c>
      <c r="R61" s="3" t="e">
        <f>IF(15&gt;='Hypothèses'!$D$44,1,0)</f>
      </c>
      <c r="S61" s="3" t="e">
        <f>IF(16&gt;='Hypothèses'!$D$44,1,0)</f>
      </c>
      <c r="T61" s="3" t="e">
        <f>IF(17&gt;='Hypothèses'!$D$44,1,0)</f>
      </c>
      <c r="U61" s="3" t="e">
        <f>IF(18&gt;='Hypothèses'!$D$44,1,0)</f>
      </c>
      <c r="V61" s="3" t="e">
        <f>IF(19&gt;='Hypothèses'!$D$44,1,0)</f>
      </c>
      <c r="W61" s="3" t="e">
        <f>IF(20&gt;='Hypothèses'!$D$44,1,0)</f>
      </c>
      <c r="X61" s="3" t="e">
        <f>IF(21&gt;='Hypothèses'!$D$44,1,0)</f>
      </c>
      <c r="Y61" s="3" t="e">
        <f>IF(22&gt;='Hypothèses'!$D$44,1,0)</f>
      </c>
      <c r="Z61" s="3" t="e">
        <f>IF(23&gt;='Hypothèses'!$D$44,1,0)</f>
      </c>
      <c r="AA61" s="3" t="e">
        <f>IF(24&gt;='Hypothèses'!$D$44,1,0)</f>
      </c>
      <c r="AB61" s="3" t="e">
        <f>IF(25&gt;='Hypothèses'!$D$44,1,0)</f>
      </c>
      <c r="AC61" s="3" t="e">
        <f>IF(26&gt;='Hypothèses'!$D$44,1,0)</f>
      </c>
      <c r="AD61" s="3" t="e">
        <f>IF(27&gt;='Hypothèses'!$D$44,1,0)</f>
      </c>
      <c r="AE61" s="3" t="e">
        <f>IF(28&gt;='Hypothèses'!$D$44,1,0)</f>
      </c>
      <c r="AF61" s="3" t="e">
        <f>IF(29&gt;='Hypothèses'!$D$44,1,0)</f>
      </c>
      <c r="AG61" s="3" t="e">
        <f>IF(30&gt;='Hypothèses'!$D$44,1,0)</f>
      </c>
      <c r="AH61" s="3" t="e">
        <f>IF(31&gt;='Hypothèses'!$D$44,1,0)</f>
      </c>
      <c r="AI61" s="3" t="e">
        <f>IF(32&gt;='Hypothèses'!$D$44,1,0)</f>
      </c>
      <c r="AJ61" s="3" t="e">
        <f>IF(33&gt;='Hypothèses'!$D$44,1,0)</f>
      </c>
      <c r="AK61" s="3" t="e">
        <f>IF(34&gt;='Hypothèses'!$D$44,1,0)</f>
      </c>
      <c r="AL61" s="3" t="e">
        <f>IF(35&gt;='Hypothèses'!$D$44,1,0)</f>
      </c>
      <c r="AM61" s="3" t="e">
        <f>IF(36&gt;='Hypothèses'!$D$44,1,0)</f>
      </c>
      <c r="AN61" s="3" t="e">
        <f>IF(37&gt;='Hypothèses'!$D$44,1,0)</f>
      </c>
      <c r="AO61" s="3" t="e">
        <f>IF(38&gt;='Hypothèses'!$D$44,1,0)</f>
      </c>
      <c r="AP61" s="3" t="e">
        <f>IF(39&gt;='Hypothèses'!$D$44,1,0)</f>
      </c>
      <c r="AQ61" s="3" t="e">
        <f>IF(40&gt;='Hypothèses'!$D$44,1,0)</f>
      </c>
      <c r="AR61" s="3" t="e">
        <f>IF(41&gt;='Hypothèses'!$D$44,1,0)</f>
      </c>
      <c r="AS61" s="3" t="e">
        <f>IF(42&gt;='Hypothèses'!$D$44,1,0)</f>
      </c>
      <c r="AT61" s="3" t="e">
        <f>IF(43&gt;='Hypothèses'!$D$44,1,0)</f>
      </c>
      <c r="AU61" s="3" t="e">
        <f>IF(44&gt;='Hypothèses'!$D$44,1,0)</f>
      </c>
      <c r="AV61" s="3" t="e">
        <f>IF(45&gt;='Hypothèses'!$D$44,1,0)</f>
      </c>
      <c r="AW61" s="3" t="e">
        <f>IF(46&gt;='Hypothèses'!$D$44,1,0)</f>
      </c>
      <c r="AX61" s="3" t="e">
        <f>IF(47&gt;='Hypothèses'!$D$44,1,0)</f>
      </c>
      <c r="AY61" s="3" t="e">
        <f>IF(48&gt;='Hypothèses'!$D$44,1,0)</f>
      </c>
      <c r="AZ61" s="3" t="e">
        <f>IF(49&gt;='Hypothèses'!$D$44,1,0)</f>
      </c>
      <c r="BA61" s="3" t="e">
        <f>IF(50&gt;='Hypothèses'!$D$44,1,0)</f>
      </c>
      <c r="BB61" s="3" t="e">
        <f>IF(51&gt;='Hypothèses'!$D$44,1,0)</f>
      </c>
      <c r="BC61" s="3" t="e">
        <f>IF(52&gt;='Hypothèses'!$D$44,1,0)</f>
      </c>
      <c r="BD61" s="3" t="e">
        <f>IF(53&gt;='Hypothèses'!$D$44,1,0)</f>
      </c>
      <c r="BE61" s="3" t="e">
        <f>IF(54&gt;='Hypothèses'!$D$44,1,0)</f>
      </c>
      <c r="BF61" s="3" t="e">
        <f>IF(55&gt;='Hypothèses'!$D$44,1,0)</f>
      </c>
      <c r="BG61" s="3" t="e">
        <f>IF(56&gt;='Hypothèses'!$D$44,1,0)</f>
      </c>
      <c r="BH61" s="3" t="e">
        <f>IF(57&gt;='Hypothèses'!$D$44,1,0)</f>
      </c>
      <c r="BI61" s="3" t="e">
        <f>IF(58&gt;='Hypothèses'!$D$44,1,0)</f>
      </c>
      <c r="BJ61" s="3" t="e">
        <f>IF(59&gt;='Hypothèses'!$D$44,1,0)</f>
      </c>
      <c r="BK61" s="3" t="e">
        <f>IF(60&gt;='Hypothèses'!$D$44,1,0)</f>
      </c>
      <c r="BL61" s="3" t="e">
        <f>O61</f>
      </c>
      <c r="BM61" s="3" t="e">
        <f>AA61</f>
      </c>
      <c r="BN61" s="3" t="e">
        <f>AM61</f>
      </c>
      <c r="BO61" s="3" t="e">
        <f>AY61</f>
      </c>
      <c r="BP61" s="3" t="e">
        <f>BK61</f>
      </c>
    </row>
    <row r="62">
      <c r="A62" t="str">
        <v>Commercial salarié n°18 — ancienneté</v>
      </c>
      <c r="B62" t="str">
        <v>mois</v>
      </c>
      <c r="C62" s="3">
        <v>0</v>
      </c>
      <c r="D62" s="3" t="e">
        <f>IF(D61=1,C62+1,0)</f>
      </c>
      <c r="E62" s="3" t="e">
        <f>IF(E61=1,D62+1,0)</f>
      </c>
      <c r="F62" s="3" t="e">
        <f>IF(F61=1,E62+1,0)</f>
      </c>
      <c r="G62" s="3" t="e">
        <f>IF(G61=1,F62+1,0)</f>
      </c>
      <c r="H62" s="3" t="e">
        <f>IF(H61=1,G62+1,0)</f>
      </c>
      <c r="I62" s="3" t="e">
        <f>IF(I61=1,H62+1,0)</f>
      </c>
      <c r="J62" s="3" t="e">
        <f>IF(J61=1,I62+1,0)</f>
      </c>
      <c r="K62" s="3" t="e">
        <f>IF(K61=1,J62+1,0)</f>
      </c>
      <c r="L62" s="3" t="e">
        <f>IF(L61=1,K62+1,0)</f>
      </c>
      <c r="M62" s="3" t="e">
        <f>IF(M61=1,L62+1,0)</f>
      </c>
      <c r="N62" s="3" t="e">
        <f>IF(N61=1,M62+1,0)</f>
      </c>
      <c r="O62" s="3" t="e">
        <f>IF(O61=1,N62+1,0)</f>
      </c>
      <c r="P62" s="3" t="e">
        <f>IF(P61=1,O62+1,0)</f>
      </c>
      <c r="Q62" s="3" t="e">
        <f>IF(Q61=1,P62+1,0)</f>
      </c>
      <c r="R62" s="3" t="e">
        <f>IF(R61=1,Q62+1,0)</f>
      </c>
      <c r="S62" s="3" t="e">
        <f>IF(S61=1,R62+1,0)</f>
      </c>
      <c r="T62" s="3" t="e">
        <f>IF(T61=1,S62+1,0)</f>
      </c>
      <c r="U62" s="3" t="e">
        <f>IF(U61=1,T62+1,0)</f>
      </c>
      <c r="V62" s="3" t="e">
        <f>IF(V61=1,U62+1,0)</f>
      </c>
      <c r="W62" s="3" t="e">
        <f>IF(W61=1,V62+1,0)</f>
      </c>
      <c r="X62" s="3" t="e">
        <f>IF(X61=1,W62+1,0)</f>
      </c>
      <c r="Y62" s="3" t="e">
        <f>IF(Y61=1,X62+1,0)</f>
      </c>
      <c r="Z62" s="3" t="e">
        <f>IF(Z61=1,Y62+1,0)</f>
      </c>
      <c r="AA62" s="3" t="e">
        <f>IF(AA61=1,Z62+1,0)</f>
      </c>
      <c r="AB62" s="3" t="e">
        <f>IF(AB61=1,AA62+1,0)</f>
      </c>
      <c r="AC62" s="3" t="e">
        <f>IF(AC61=1,AB62+1,0)</f>
      </c>
      <c r="AD62" s="3" t="e">
        <f>IF(AD61=1,AC62+1,0)</f>
      </c>
      <c r="AE62" s="3" t="e">
        <f>IF(AE61=1,AD62+1,0)</f>
      </c>
      <c r="AF62" s="3" t="e">
        <f>IF(AF61=1,AE62+1,0)</f>
      </c>
      <c r="AG62" s="3" t="e">
        <f>IF(AG61=1,AF62+1,0)</f>
      </c>
      <c r="AH62" s="3" t="e">
        <f>IF(AH61=1,AG62+1,0)</f>
      </c>
      <c r="AI62" s="3" t="e">
        <f>IF(AI61=1,AH62+1,0)</f>
      </c>
      <c r="AJ62" s="3" t="e">
        <f>IF(AJ61=1,AI62+1,0)</f>
      </c>
      <c r="AK62" s="3" t="e">
        <f>IF(AK61=1,AJ62+1,0)</f>
      </c>
      <c r="AL62" s="3" t="e">
        <f>IF(AL61=1,AK62+1,0)</f>
      </c>
      <c r="AM62" s="3" t="e">
        <f>IF(AM61=1,AL62+1,0)</f>
      </c>
      <c r="AN62" s="3" t="e">
        <f>IF(AN61=1,AM62+1,0)</f>
      </c>
      <c r="AO62" s="3" t="e">
        <f>IF(AO61=1,AN62+1,0)</f>
      </c>
      <c r="AP62" s="3" t="e">
        <f>IF(AP61=1,AO62+1,0)</f>
      </c>
      <c r="AQ62" s="3" t="e">
        <f>IF(AQ61=1,AP62+1,0)</f>
      </c>
      <c r="AR62" s="3" t="e">
        <f>IF(AR61=1,AQ62+1,0)</f>
      </c>
      <c r="AS62" s="3" t="e">
        <f>IF(AS61=1,AR62+1,0)</f>
      </c>
      <c r="AT62" s="3" t="e">
        <f>IF(AT61=1,AS62+1,0)</f>
      </c>
      <c r="AU62" s="3" t="e">
        <f>IF(AU61=1,AT62+1,0)</f>
      </c>
      <c r="AV62" s="3" t="e">
        <f>IF(AV61=1,AU62+1,0)</f>
      </c>
      <c r="AW62" s="3" t="e">
        <f>IF(AW61=1,AV62+1,0)</f>
      </c>
      <c r="AX62" s="3" t="e">
        <f>IF(AX61=1,AW62+1,0)</f>
      </c>
      <c r="AY62" s="3" t="e">
        <f>IF(AY61=1,AX62+1,0)</f>
      </c>
      <c r="AZ62" s="3" t="e">
        <f>IF(AZ61=1,AY62+1,0)</f>
      </c>
      <c r="BA62" s="3" t="e">
        <f>IF(BA61=1,AZ62+1,0)</f>
      </c>
      <c r="BB62" s="3" t="e">
        <f>IF(BB61=1,BA62+1,0)</f>
      </c>
      <c r="BC62" s="3" t="e">
        <f>IF(BC61=1,BB62+1,0)</f>
      </c>
      <c r="BD62" s="3" t="e">
        <f>IF(BD61=1,BC62+1,0)</f>
      </c>
      <c r="BE62" s="3" t="e">
        <f>IF(BE61=1,BD62+1,0)</f>
      </c>
      <c r="BF62" s="3" t="e">
        <f>IF(BF61=1,BE62+1,0)</f>
      </c>
      <c r="BG62" s="3" t="e">
        <f>IF(BG61=1,BF62+1,0)</f>
      </c>
      <c r="BH62" s="3" t="e">
        <f>IF(BH61=1,BG62+1,0)</f>
      </c>
      <c r="BI62" s="3" t="e">
        <f>IF(BI61=1,BH62+1,0)</f>
      </c>
      <c r="BJ62" s="3" t="e">
        <f>IF(BJ61=1,BI62+1,0)</f>
      </c>
      <c r="BK62" s="3" t="e">
        <f>IF(BK61=1,BJ62+1,0)</f>
      </c>
      <c r="BL62" s="3" t="e">
        <f>O62</f>
      </c>
      <c r="BM62" s="3" t="e">
        <f>AA62</f>
      </c>
      <c r="BN62" s="3" t="e">
        <f>AM62</f>
      </c>
      <c r="BO62" s="3" t="e">
        <f>AY62</f>
      </c>
      <c r="BP62" s="3" t="e">
        <f>BK62</f>
      </c>
    </row>
    <row r="63">
      <c r="A63" t="str">
        <v>Commercial salarié n°18 — productivité (ramp)</v>
      </c>
      <c r="B63" t="str">
        <v>%</v>
      </c>
      <c r="C63" s="2">
        <v>0</v>
      </c>
      <c r="D63" s="2" t="e">
        <f>IF(D61=1,MIN(1,D62/'Hypothèses'!$D$19),0)</f>
      </c>
      <c r="E63" s="2" t="e">
        <f>IF(E61=1,MIN(1,E62/'Hypothèses'!$D$19),0)</f>
      </c>
      <c r="F63" s="2" t="e">
        <f>IF(F61=1,MIN(1,F62/'Hypothèses'!$D$19),0)</f>
      </c>
      <c r="G63" s="2" t="e">
        <f>IF(G61=1,MIN(1,G62/'Hypothèses'!$D$19),0)</f>
      </c>
      <c r="H63" s="2" t="e">
        <f>IF(H61=1,MIN(1,H62/'Hypothèses'!$D$19),0)</f>
      </c>
      <c r="I63" s="2" t="e">
        <f>IF(I61=1,MIN(1,I62/'Hypothèses'!$D$19),0)</f>
      </c>
      <c r="J63" s="2" t="e">
        <f>IF(J61=1,MIN(1,J62/'Hypothèses'!$D$19),0)</f>
      </c>
      <c r="K63" s="2" t="e">
        <f>IF(K61=1,MIN(1,K62/'Hypothèses'!$D$19),0)</f>
      </c>
      <c r="L63" s="2" t="e">
        <f>IF(L61=1,MIN(1,L62/'Hypothèses'!$D$19),0)</f>
      </c>
      <c r="M63" s="2" t="e">
        <f>IF(M61=1,MIN(1,M62/'Hypothèses'!$D$19),0)</f>
      </c>
      <c r="N63" s="2" t="e">
        <f>IF(N61=1,MIN(1,N62/'Hypothèses'!$D$19),0)</f>
      </c>
      <c r="O63" s="2" t="e">
        <f>IF(O61=1,MIN(1,O62/'Hypothèses'!$D$19),0)</f>
      </c>
      <c r="P63" s="2" t="e">
        <f>IF(P61=1,MIN(1,P62/'Hypothèses'!$D$19),0)</f>
      </c>
      <c r="Q63" s="2" t="e">
        <f>IF(Q61=1,MIN(1,Q62/'Hypothèses'!$D$19),0)</f>
      </c>
      <c r="R63" s="2" t="e">
        <f>IF(R61=1,MIN(1,R62/'Hypothèses'!$D$19),0)</f>
      </c>
      <c r="S63" s="2" t="e">
        <f>IF(S61=1,MIN(1,S62/'Hypothèses'!$D$19),0)</f>
      </c>
      <c r="T63" s="2" t="e">
        <f>IF(T61=1,MIN(1,T62/'Hypothèses'!$D$19),0)</f>
      </c>
      <c r="U63" s="2" t="e">
        <f>IF(U61=1,MIN(1,U62/'Hypothèses'!$D$19),0)</f>
      </c>
      <c r="V63" s="2" t="e">
        <f>IF(V61=1,MIN(1,V62/'Hypothèses'!$D$19),0)</f>
      </c>
      <c r="W63" s="2" t="e">
        <f>IF(W61=1,MIN(1,W62/'Hypothèses'!$D$19),0)</f>
      </c>
      <c r="X63" s="2" t="e">
        <f>IF(X61=1,MIN(1,X62/'Hypothèses'!$D$19),0)</f>
      </c>
      <c r="Y63" s="2" t="e">
        <f>IF(Y61=1,MIN(1,Y62/'Hypothèses'!$D$19),0)</f>
      </c>
      <c r="Z63" s="2" t="e">
        <f>IF(Z61=1,MIN(1,Z62/'Hypothèses'!$D$19),0)</f>
      </c>
      <c r="AA63" s="2" t="e">
        <f>IF(AA61=1,MIN(1,AA62/'Hypothèses'!$D$19),0)</f>
      </c>
      <c r="AB63" s="2" t="e">
        <f>IF(AB61=1,MIN(1,AB62/'Hypothèses'!$D$19),0)</f>
      </c>
      <c r="AC63" s="2" t="e">
        <f>IF(AC61=1,MIN(1,AC62/'Hypothèses'!$D$19),0)</f>
      </c>
      <c r="AD63" s="2" t="e">
        <f>IF(AD61=1,MIN(1,AD62/'Hypothèses'!$D$19),0)</f>
      </c>
      <c r="AE63" s="2" t="e">
        <f>IF(AE61=1,MIN(1,AE62/'Hypothèses'!$D$19),0)</f>
      </c>
      <c r="AF63" s="2" t="e">
        <f>IF(AF61=1,MIN(1,AF62/'Hypothèses'!$D$19),0)</f>
      </c>
      <c r="AG63" s="2" t="e">
        <f>IF(AG61=1,MIN(1,AG62/'Hypothèses'!$D$19),0)</f>
      </c>
      <c r="AH63" s="2" t="e">
        <f>IF(AH61=1,MIN(1,AH62/'Hypothèses'!$D$19),0)</f>
      </c>
      <c r="AI63" s="2" t="e">
        <f>IF(AI61=1,MIN(1,AI62/'Hypothèses'!$D$19),0)</f>
      </c>
      <c r="AJ63" s="2" t="e">
        <f>IF(AJ61=1,MIN(1,AJ62/'Hypothèses'!$D$19),0)</f>
      </c>
      <c r="AK63" s="2" t="e">
        <f>IF(AK61=1,MIN(1,AK62/'Hypothèses'!$D$19),0)</f>
      </c>
      <c r="AL63" s="2" t="e">
        <f>IF(AL61=1,MIN(1,AL62/'Hypothèses'!$D$19),0)</f>
      </c>
      <c r="AM63" s="2" t="e">
        <f>IF(AM61=1,MIN(1,AM62/'Hypothèses'!$D$19),0)</f>
      </c>
      <c r="AN63" s="2" t="e">
        <f>IF(AN61=1,MIN(1,AN62/'Hypothèses'!$D$19),0)</f>
      </c>
      <c r="AO63" s="2" t="e">
        <f>IF(AO61=1,MIN(1,AO62/'Hypothèses'!$D$19),0)</f>
      </c>
      <c r="AP63" s="2" t="e">
        <f>IF(AP61=1,MIN(1,AP62/'Hypothèses'!$D$19),0)</f>
      </c>
      <c r="AQ63" s="2" t="e">
        <f>IF(AQ61=1,MIN(1,AQ62/'Hypothèses'!$D$19),0)</f>
      </c>
      <c r="AR63" s="2" t="e">
        <f>IF(AR61=1,MIN(1,AR62/'Hypothèses'!$D$19),0)</f>
      </c>
      <c r="AS63" s="2" t="e">
        <f>IF(AS61=1,MIN(1,AS62/'Hypothèses'!$D$19),0)</f>
      </c>
      <c r="AT63" s="2" t="e">
        <f>IF(AT61=1,MIN(1,AT62/'Hypothèses'!$D$19),0)</f>
      </c>
      <c r="AU63" s="2" t="e">
        <f>IF(AU61=1,MIN(1,AU62/'Hypothèses'!$D$19),0)</f>
      </c>
      <c r="AV63" s="2" t="e">
        <f>IF(AV61=1,MIN(1,AV62/'Hypothèses'!$D$19),0)</f>
      </c>
      <c r="AW63" s="2" t="e">
        <f>IF(AW61=1,MIN(1,AW62/'Hypothèses'!$D$19),0)</f>
      </c>
      <c r="AX63" s="2" t="e">
        <f>IF(AX61=1,MIN(1,AX62/'Hypothèses'!$D$19),0)</f>
      </c>
      <c r="AY63" s="2" t="e">
        <f>IF(AY61=1,MIN(1,AY62/'Hypothèses'!$D$19),0)</f>
      </c>
      <c r="AZ63" s="2" t="e">
        <f>IF(AZ61=1,MIN(1,AZ62/'Hypothèses'!$D$19),0)</f>
      </c>
      <c r="BA63" s="2" t="e">
        <f>IF(BA61=1,MIN(1,BA62/'Hypothèses'!$D$19),0)</f>
      </c>
      <c r="BB63" s="2" t="e">
        <f>IF(BB61=1,MIN(1,BB62/'Hypothèses'!$D$19),0)</f>
      </c>
      <c r="BC63" s="2" t="e">
        <f>IF(BC61=1,MIN(1,BC62/'Hypothèses'!$D$19),0)</f>
      </c>
      <c r="BD63" s="2" t="e">
        <f>IF(BD61=1,MIN(1,BD62/'Hypothèses'!$D$19),0)</f>
      </c>
      <c r="BE63" s="2" t="e">
        <f>IF(BE61=1,MIN(1,BE62/'Hypothèses'!$D$19),0)</f>
      </c>
      <c r="BF63" s="2" t="e">
        <f>IF(BF61=1,MIN(1,BF62/'Hypothèses'!$D$19),0)</f>
      </c>
      <c r="BG63" s="2" t="e">
        <f>IF(BG61=1,MIN(1,BG62/'Hypothèses'!$D$19),0)</f>
      </c>
      <c r="BH63" s="2" t="e">
        <f>IF(BH61=1,MIN(1,BH62/'Hypothèses'!$D$19),0)</f>
      </c>
      <c r="BI63" s="2" t="e">
        <f>IF(BI61=1,MIN(1,BI62/'Hypothèses'!$D$19),0)</f>
      </c>
      <c r="BJ63" s="2" t="e">
        <f>IF(BJ61=1,MIN(1,BJ62/'Hypothèses'!$D$19),0)</f>
      </c>
      <c r="BK63" s="2" t="e">
        <f>IF(BK61=1,MIN(1,BK62/'Hypothèses'!$D$19),0)</f>
      </c>
      <c r="BL63" s="2" t="e">
        <f>AVERAGE(D63:O63)</f>
      </c>
      <c r="BM63" s="2" t="e">
        <f>AVERAGE(P63:AA63)</f>
      </c>
      <c r="BN63" s="2" t="e">
        <f>AVERAGE(AB63:AM63)</f>
      </c>
      <c r="BO63" s="2" t="e">
        <f>AVERAGE(AN63:AY63)</f>
      </c>
      <c r="BP63" s="2" t="e">
        <f>AVERAGE(AZ63:BK63)</f>
      </c>
    </row>
    <row r="64">
      <c r="A64" t="str">
        <v>Commercial salarié n°19 en poste (1/0)</v>
      </c>
      <c r="B64" t="str">
        <v>0/1</v>
      </c>
      <c r="C64" s="3">
        <v>0</v>
      </c>
      <c r="D64" s="3" t="e">
        <f>IF(1&gt;='Hypothèses'!$D$45,1,0)</f>
      </c>
      <c r="E64" s="3" t="e">
        <f>IF(2&gt;='Hypothèses'!$D$45,1,0)</f>
      </c>
      <c r="F64" s="3" t="e">
        <f>IF(3&gt;='Hypothèses'!$D$45,1,0)</f>
      </c>
      <c r="G64" s="3" t="e">
        <f>IF(4&gt;='Hypothèses'!$D$45,1,0)</f>
      </c>
      <c r="H64" s="3" t="e">
        <f>IF(5&gt;='Hypothèses'!$D$45,1,0)</f>
      </c>
      <c r="I64" s="3" t="e">
        <f>IF(6&gt;='Hypothèses'!$D$45,1,0)</f>
      </c>
      <c r="J64" s="3" t="e">
        <f>IF(7&gt;='Hypothèses'!$D$45,1,0)</f>
      </c>
      <c r="K64" s="3" t="e">
        <f>IF(8&gt;='Hypothèses'!$D$45,1,0)</f>
      </c>
      <c r="L64" s="3" t="e">
        <f>IF(9&gt;='Hypothèses'!$D$45,1,0)</f>
      </c>
      <c r="M64" s="3" t="e">
        <f>IF(10&gt;='Hypothèses'!$D$45,1,0)</f>
      </c>
      <c r="N64" s="3" t="e">
        <f>IF(11&gt;='Hypothèses'!$D$45,1,0)</f>
      </c>
      <c r="O64" s="3" t="e">
        <f>IF(12&gt;='Hypothèses'!$D$45,1,0)</f>
      </c>
      <c r="P64" s="3" t="e">
        <f>IF(13&gt;='Hypothèses'!$D$45,1,0)</f>
      </c>
      <c r="Q64" s="3" t="e">
        <f>IF(14&gt;='Hypothèses'!$D$45,1,0)</f>
      </c>
      <c r="R64" s="3" t="e">
        <f>IF(15&gt;='Hypothèses'!$D$45,1,0)</f>
      </c>
      <c r="S64" s="3" t="e">
        <f>IF(16&gt;='Hypothèses'!$D$45,1,0)</f>
      </c>
      <c r="T64" s="3" t="e">
        <f>IF(17&gt;='Hypothèses'!$D$45,1,0)</f>
      </c>
      <c r="U64" s="3" t="e">
        <f>IF(18&gt;='Hypothèses'!$D$45,1,0)</f>
      </c>
      <c r="V64" s="3" t="e">
        <f>IF(19&gt;='Hypothèses'!$D$45,1,0)</f>
      </c>
      <c r="W64" s="3" t="e">
        <f>IF(20&gt;='Hypothèses'!$D$45,1,0)</f>
      </c>
      <c r="X64" s="3" t="e">
        <f>IF(21&gt;='Hypothèses'!$D$45,1,0)</f>
      </c>
      <c r="Y64" s="3" t="e">
        <f>IF(22&gt;='Hypothèses'!$D$45,1,0)</f>
      </c>
      <c r="Z64" s="3" t="e">
        <f>IF(23&gt;='Hypothèses'!$D$45,1,0)</f>
      </c>
      <c r="AA64" s="3" t="e">
        <f>IF(24&gt;='Hypothèses'!$D$45,1,0)</f>
      </c>
      <c r="AB64" s="3" t="e">
        <f>IF(25&gt;='Hypothèses'!$D$45,1,0)</f>
      </c>
      <c r="AC64" s="3" t="e">
        <f>IF(26&gt;='Hypothèses'!$D$45,1,0)</f>
      </c>
      <c r="AD64" s="3" t="e">
        <f>IF(27&gt;='Hypothèses'!$D$45,1,0)</f>
      </c>
      <c r="AE64" s="3" t="e">
        <f>IF(28&gt;='Hypothèses'!$D$45,1,0)</f>
      </c>
      <c r="AF64" s="3" t="e">
        <f>IF(29&gt;='Hypothèses'!$D$45,1,0)</f>
      </c>
      <c r="AG64" s="3" t="e">
        <f>IF(30&gt;='Hypothèses'!$D$45,1,0)</f>
      </c>
      <c r="AH64" s="3" t="e">
        <f>IF(31&gt;='Hypothèses'!$D$45,1,0)</f>
      </c>
      <c r="AI64" s="3" t="e">
        <f>IF(32&gt;='Hypothèses'!$D$45,1,0)</f>
      </c>
      <c r="AJ64" s="3" t="e">
        <f>IF(33&gt;='Hypothèses'!$D$45,1,0)</f>
      </c>
      <c r="AK64" s="3" t="e">
        <f>IF(34&gt;='Hypothèses'!$D$45,1,0)</f>
      </c>
      <c r="AL64" s="3" t="e">
        <f>IF(35&gt;='Hypothèses'!$D$45,1,0)</f>
      </c>
      <c r="AM64" s="3" t="e">
        <f>IF(36&gt;='Hypothèses'!$D$45,1,0)</f>
      </c>
      <c r="AN64" s="3" t="e">
        <f>IF(37&gt;='Hypothèses'!$D$45,1,0)</f>
      </c>
      <c r="AO64" s="3" t="e">
        <f>IF(38&gt;='Hypothèses'!$D$45,1,0)</f>
      </c>
      <c r="AP64" s="3" t="e">
        <f>IF(39&gt;='Hypothèses'!$D$45,1,0)</f>
      </c>
      <c r="AQ64" s="3" t="e">
        <f>IF(40&gt;='Hypothèses'!$D$45,1,0)</f>
      </c>
      <c r="AR64" s="3" t="e">
        <f>IF(41&gt;='Hypothèses'!$D$45,1,0)</f>
      </c>
      <c r="AS64" s="3" t="e">
        <f>IF(42&gt;='Hypothèses'!$D$45,1,0)</f>
      </c>
      <c r="AT64" s="3" t="e">
        <f>IF(43&gt;='Hypothèses'!$D$45,1,0)</f>
      </c>
      <c r="AU64" s="3" t="e">
        <f>IF(44&gt;='Hypothèses'!$D$45,1,0)</f>
      </c>
      <c r="AV64" s="3" t="e">
        <f>IF(45&gt;='Hypothèses'!$D$45,1,0)</f>
      </c>
      <c r="AW64" s="3" t="e">
        <f>IF(46&gt;='Hypothèses'!$D$45,1,0)</f>
      </c>
      <c r="AX64" s="3" t="e">
        <f>IF(47&gt;='Hypothèses'!$D$45,1,0)</f>
      </c>
      <c r="AY64" s="3" t="e">
        <f>IF(48&gt;='Hypothèses'!$D$45,1,0)</f>
      </c>
      <c r="AZ64" s="3" t="e">
        <f>IF(49&gt;='Hypothèses'!$D$45,1,0)</f>
      </c>
      <c r="BA64" s="3" t="e">
        <f>IF(50&gt;='Hypothèses'!$D$45,1,0)</f>
      </c>
      <c r="BB64" s="3" t="e">
        <f>IF(51&gt;='Hypothèses'!$D$45,1,0)</f>
      </c>
      <c r="BC64" s="3" t="e">
        <f>IF(52&gt;='Hypothèses'!$D$45,1,0)</f>
      </c>
      <c r="BD64" s="3" t="e">
        <f>IF(53&gt;='Hypothèses'!$D$45,1,0)</f>
      </c>
      <c r="BE64" s="3" t="e">
        <f>IF(54&gt;='Hypothèses'!$D$45,1,0)</f>
      </c>
      <c r="BF64" s="3" t="e">
        <f>IF(55&gt;='Hypothèses'!$D$45,1,0)</f>
      </c>
      <c r="BG64" s="3" t="e">
        <f>IF(56&gt;='Hypothèses'!$D$45,1,0)</f>
      </c>
      <c r="BH64" s="3" t="e">
        <f>IF(57&gt;='Hypothèses'!$D$45,1,0)</f>
      </c>
      <c r="BI64" s="3" t="e">
        <f>IF(58&gt;='Hypothèses'!$D$45,1,0)</f>
      </c>
      <c r="BJ64" s="3" t="e">
        <f>IF(59&gt;='Hypothèses'!$D$45,1,0)</f>
      </c>
      <c r="BK64" s="3" t="e">
        <f>IF(60&gt;='Hypothèses'!$D$45,1,0)</f>
      </c>
      <c r="BL64" s="3" t="e">
        <f>O64</f>
      </c>
      <c r="BM64" s="3" t="e">
        <f>AA64</f>
      </c>
      <c r="BN64" s="3" t="e">
        <f>AM64</f>
      </c>
      <c r="BO64" s="3" t="e">
        <f>AY64</f>
      </c>
      <c r="BP64" s="3" t="e">
        <f>BK64</f>
      </c>
    </row>
    <row r="65">
      <c r="A65" t="str">
        <v>Commercial salarié n°19 — ancienneté</v>
      </c>
      <c r="B65" t="str">
        <v>mois</v>
      </c>
      <c r="C65" s="3">
        <v>0</v>
      </c>
      <c r="D65" s="3" t="e">
        <f>IF(D64=1,C65+1,0)</f>
      </c>
      <c r="E65" s="3" t="e">
        <f>IF(E64=1,D65+1,0)</f>
      </c>
      <c r="F65" s="3" t="e">
        <f>IF(F64=1,E65+1,0)</f>
      </c>
      <c r="G65" s="3" t="e">
        <f>IF(G64=1,F65+1,0)</f>
      </c>
      <c r="H65" s="3" t="e">
        <f>IF(H64=1,G65+1,0)</f>
      </c>
      <c r="I65" s="3" t="e">
        <f>IF(I64=1,H65+1,0)</f>
      </c>
      <c r="J65" s="3" t="e">
        <f>IF(J64=1,I65+1,0)</f>
      </c>
      <c r="K65" s="3" t="e">
        <f>IF(K64=1,J65+1,0)</f>
      </c>
      <c r="L65" s="3" t="e">
        <f>IF(L64=1,K65+1,0)</f>
      </c>
      <c r="M65" s="3" t="e">
        <f>IF(M64=1,L65+1,0)</f>
      </c>
      <c r="N65" s="3" t="e">
        <f>IF(N64=1,M65+1,0)</f>
      </c>
      <c r="O65" s="3" t="e">
        <f>IF(O64=1,N65+1,0)</f>
      </c>
      <c r="P65" s="3" t="e">
        <f>IF(P64=1,O65+1,0)</f>
      </c>
      <c r="Q65" s="3" t="e">
        <f>IF(Q64=1,P65+1,0)</f>
      </c>
      <c r="R65" s="3" t="e">
        <f>IF(R64=1,Q65+1,0)</f>
      </c>
      <c r="S65" s="3" t="e">
        <f>IF(S64=1,R65+1,0)</f>
      </c>
      <c r="T65" s="3" t="e">
        <f>IF(T64=1,S65+1,0)</f>
      </c>
      <c r="U65" s="3" t="e">
        <f>IF(U64=1,T65+1,0)</f>
      </c>
      <c r="V65" s="3" t="e">
        <f>IF(V64=1,U65+1,0)</f>
      </c>
      <c r="W65" s="3" t="e">
        <f>IF(W64=1,V65+1,0)</f>
      </c>
      <c r="X65" s="3" t="e">
        <f>IF(X64=1,W65+1,0)</f>
      </c>
      <c r="Y65" s="3" t="e">
        <f>IF(Y64=1,X65+1,0)</f>
      </c>
      <c r="Z65" s="3" t="e">
        <f>IF(Z64=1,Y65+1,0)</f>
      </c>
      <c r="AA65" s="3" t="e">
        <f>IF(AA64=1,Z65+1,0)</f>
      </c>
      <c r="AB65" s="3" t="e">
        <f>IF(AB64=1,AA65+1,0)</f>
      </c>
      <c r="AC65" s="3" t="e">
        <f>IF(AC64=1,AB65+1,0)</f>
      </c>
      <c r="AD65" s="3" t="e">
        <f>IF(AD64=1,AC65+1,0)</f>
      </c>
      <c r="AE65" s="3" t="e">
        <f>IF(AE64=1,AD65+1,0)</f>
      </c>
      <c r="AF65" s="3" t="e">
        <f>IF(AF64=1,AE65+1,0)</f>
      </c>
      <c r="AG65" s="3" t="e">
        <f>IF(AG64=1,AF65+1,0)</f>
      </c>
      <c r="AH65" s="3" t="e">
        <f>IF(AH64=1,AG65+1,0)</f>
      </c>
      <c r="AI65" s="3" t="e">
        <f>IF(AI64=1,AH65+1,0)</f>
      </c>
      <c r="AJ65" s="3" t="e">
        <f>IF(AJ64=1,AI65+1,0)</f>
      </c>
      <c r="AK65" s="3" t="e">
        <f>IF(AK64=1,AJ65+1,0)</f>
      </c>
      <c r="AL65" s="3" t="e">
        <f>IF(AL64=1,AK65+1,0)</f>
      </c>
      <c r="AM65" s="3" t="e">
        <f>IF(AM64=1,AL65+1,0)</f>
      </c>
      <c r="AN65" s="3" t="e">
        <f>IF(AN64=1,AM65+1,0)</f>
      </c>
      <c r="AO65" s="3" t="e">
        <f>IF(AO64=1,AN65+1,0)</f>
      </c>
      <c r="AP65" s="3" t="e">
        <f>IF(AP64=1,AO65+1,0)</f>
      </c>
      <c r="AQ65" s="3" t="e">
        <f>IF(AQ64=1,AP65+1,0)</f>
      </c>
      <c r="AR65" s="3" t="e">
        <f>IF(AR64=1,AQ65+1,0)</f>
      </c>
      <c r="AS65" s="3" t="e">
        <f>IF(AS64=1,AR65+1,0)</f>
      </c>
      <c r="AT65" s="3" t="e">
        <f>IF(AT64=1,AS65+1,0)</f>
      </c>
      <c r="AU65" s="3" t="e">
        <f>IF(AU64=1,AT65+1,0)</f>
      </c>
      <c r="AV65" s="3" t="e">
        <f>IF(AV64=1,AU65+1,0)</f>
      </c>
      <c r="AW65" s="3" t="e">
        <f>IF(AW64=1,AV65+1,0)</f>
      </c>
      <c r="AX65" s="3" t="e">
        <f>IF(AX64=1,AW65+1,0)</f>
      </c>
      <c r="AY65" s="3" t="e">
        <f>IF(AY64=1,AX65+1,0)</f>
      </c>
      <c r="AZ65" s="3" t="e">
        <f>IF(AZ64=1,AY65+1,0)</f>
      </c>
      <c r="BA65" s="3" t="e">
        <f>IF(BA64=1,AZ65+1,0)</f>
      </c>
      <c r="BB65" s="3" t="e">
        <f>IF(BB64=1,BA65+1,0)</f>
      </c>
      <c r="BC65" s="3" t="e">
        <f>IF(BC64=1,BB65+1,0)</f>
      </c>
      <c r="BD65" s="3" t="e">
        <f>IF(BD64=1,BC65+1,0)</f>
      </c>
      <c r="BE65" s="3" t="e">
        <f>IF(BE64=1,BD65+1,0)</f>
      </c>
      <c r="BF65" s="3" t="e">
        <f>IF(BF64=1,BE65+1,0)</f>
      </c>
      <c r="BG65" s="3" t="e">
        <f>IF(BG64=1,BF65+1,0)</f>
      </c>
      <c r="BH65" s="3" t="e">
        <f>IF(BH64=1,BG65+1,0)</f>
      </c>
      <c r="BI65" s="3" t="e">
        <f>IF(BI64=1,BH65+1,0)</f>
      </c>
      <c r="BJ65" s="3" t="e">
        <f>IF(BJ64=1,BI65+1,0)</f>
      </c>
      <c r="BK65" s="3" t="e">
        <f>IF(BK64=1,BJ65+1,0)</f>
      </c>
      <c r="BL65" s="3" t="e">
        <f>O65</f>
      </c>
      <c r="BM65" s="3" t="e">
        <f>AA65</f>
      </c>
      <c r="BN65" s="3" t="e">
        <f>AM65</f>
      </c>
      <c r="BO65" s="3" t="e">
        <f>AY65</f>
      </c>
      <c r="BP65" s="3" t="e">
        <f>BK65</f>
      </c>
    </row>
    <row r="66">
      <c r="A66" t="str">
        <v>Commercial salarié n°19 — productivité (ramp)</v>
      </c>
      <c r="B66" t="str">
        <v>%</v>
      </c>
      <c r="C66" s="2">
        <v>0</v>
      </c>
      <c r="D66" s="2" t="e">
        <f>IF(D64=1,MIN(1,D65/'Hypothèses'!$D$19),0)</f>
      </c>
      <c r="E66" s="2" t="e">
        <f>IF(E64=1,MIN(1,E65/'Hypothèses'!$D$19),0)</f>
      </c>
      <c r="F66" s="2" t="e">
        <f>IF(F64=1,MIN(1,F65/'Hypothèses'!$D$19),0)</f>
      </c>
      <c r="G66" s="2" t="e">
        <f>IF(G64=1,MIN(1,G65/'Hypothèses'!$D$19),0)</f>
      </c>
      <c r="H66" s="2" t="e">
        <f>IF(H64=1,MIN(1,H65/'Hypothèses'!$D$19),0)</f>
      </c>
      <c r="I66" s="2" t="e">
        <f>IF(I64=1,MIN(1,I65/'Hypothèses'!$D$19),0)</f>
      </c>
      <c r="J66" s="2" t="e">
        <f>IF(J64=1,MIN(1,J65/'Hypothèses'!$D$19),0)</f>
      </c>
      <c r="K66" s="2" t="e">
        <f>IF(K64=1,MIN(1,K65/'Hypothèses'!$D$19),0)</f>
      </c>
      <c r="L66" s="2" t="e">
        <f>IF(L64=1,MIN(1,L65/'Hypothèses'!$D$19),0)</f>
      </c>
      <c r="M66" s="2" t="e">
        <f>IF(M64=1,MIN(1,M65/'Hypothèses'!$D$19),0)</f>
      </c>
      <c r="N66" s="2" t="e">
        <f>IF(N64=1,MIN(1,N65/'Hypothèses'!$D$19),0)</f>
      </c>
      <c r="O66" s="2" t="e">
        <f>IF(O64=1,MIN(1,O65/'Hypothèses'!$D$19),0)</f>
      </c>
      <c r="P66" s="2" t="e">
        <f>IF(P64=1,MIN(1,P65/'Hypothèses'!$D$19),0)</f>
      </c>
      <c r="Q66" s="2" t="e">
        <f>IF(Q64=1,MIN(1,Q65/'Hypothèses'!$D$19),0)</f>
      </c>
      <c r="R66" s="2" t="e">
        <f>IF(R64=1,MIN(1,R65/'Hypothèses'!$D$19),0)</f>
      </c>
      <c r="S66" s="2" t="e">
        <f>IF(S64=1,MIN(1,S65/'Hypothèses'!$D$19),0)</f>
      </c>
      <c r="T66" s="2" t="e">
        <f>IF(T64=1,MIN(1,T65/'Hypothèses'!$D$19),0)</f>
      </c>
      <c r="U66" s="2" t="e">
        <f>IF(U64=1,MIN(1,U65/'Hypothèses'!$D$19),0)</f>
      </c>
      <c r="V66" s="2" t="e">
        <f>IF(V64=1,MIN(1,V65/'Hypothèses'!$D$19),0)</f>
      </c>
      <c r="W66" s="2" t="e">
        <f>IF(W64=1,MIN(1,W65/'Hypothèses'!$D$19),0)</f>
      </c>
      <c r="X66" s="2" t="e">
        <f>IF(X64=1,MIN(1,X65/'Hypothèses'!$D$19),0)</f>
      </c>
      <c r="Y66" s="2" t="e">
        <f>IF(Y64=1,MIN(1,Y65/'Hypothèses'!$D$19),0)</f>
      </c>
      <c r="Z66" s="2" t="e">
        <f>IF(Z64=1,MIN(1,Z65/'Hypothèses'!$D$19),0)</f>
      </c>
      <c r="AA66" s="2" t="e">
        <f>IF(AA64=1,MIN(1,AA65/'Hypothèses'!$D$19),0)</f>
      </c>
      <c r="AB66" s="2" t="e">
        <f>IF(AB64=1,MIN(1,AB65/'Hypothèses'!$D$19),0)</f>
      </c>
      <c r="AC66" s="2" t="e">
        <f>IF(AC64=1,MIN(1,AC65/'Hypothèses'!$D$19),0)</f>
      </c>
      <c r="AD66" s="2" t="e">
        <f>IF(AD64=1,MIN(1,AD65/'Hypothèses'!$D$19),0)</f>
      </c>
      <c r="AE66" s="2" t="e">
        <f>IF(AE64=1,MIN(1,AE65/'Hypothèses'!$D$19),0)</f>
      </c>
      <c r="AF66" s="2" t="e">
        <f>IF(AF64=1,MIN(1,AF65/'Hypothèses'!$D$19),0)</f>
      </c>
      <c r="AG66" s="2" t="e">
        <f>IF(AG64=1,MIN(1,AG65/'Hypothèses'!$D$19),0)</f>
      </c>
      <c r="AH66" s="2" t="e">
        <f>IF(AH64=1,MIN(1,AH65/'Hypothèses'!$D$19),0)</f>
      </c>
      <c r="AI66" s="2" t="e">
        <f>IF(AI64=1,MIN(1,AI65/'Hypothèses'!$D$19),0)</f>
      </c>
      <c r="AJ66" s="2" t="e">
        <f>IF(AJ64=1,MIN(1,AJ65/'Hypothèses'!$D$19),0)</f>
      </c>
      <c r="AK66" s="2" t="e">
        <f>IF(AK64=1,MIN(1,AK65/'Hypothèses'!$D$19),0)</f>
      </c>
      <c r="AL66" s="2" t="e">
        <f>IF(AL64=1,MIN(1,AL65/'Hypothèses'!$D$19),0)</f>
      </c>
      <c r="AM66" s="2" t="e">
        <f>IF(AM64=1,MIN(1,AM65/'Hypothèses'!$D$19),0)</f>
      </c>
      <c r="AN66" s="2" t="e">
        <f>IF(AN64=1,MIN(1,AN65/'Hypothèses'!$D$19),0)</f>
      </c>
      <c r="AO66" s="2" t="e">
        <f>IF(AO64=1,MIN(1,AO65/'Hypothèses'!$D$19),0)</f>
      </c>
      <c r="AP66" s="2" t="e">
        <f>IF(AP64=1,MIN(1,AP65/'Hypothèses'!$D$19),0)</f>
      </c>
      <c r="AQ66" s="2" t="e">
        <f>IF(AQ64=1,MIN(1,AQ65/'Hypothèses'!$D$19),0)</f>
      </c>
      <c r="AR66" s="2" t="e">
        <f>IF(AR64=1,MIN(1,AR65/'Hypothèses'!$D$19),0)</f>
      </c>
      <c r="AS66" s="2" t="e">
        <f>IF(AS64=1,MIN(1,AS65/'Hypothèses'!$D$19),0)</f>
      </c>
      <c r="AT66" s="2" t="e">
        <f>IF(AT64=1,MIN(1,AT65/'Hypothèses'!$D$19),0)</f>
      </c>
      <c r="AU66" s="2" t="e">
        <f>IF(AU64=1,MIN(1,AU65/'Hypothèses'!$D$19),0)</f>
      </c>
      <c r="AV66" s="2" t="e">
        <f>IF(AV64=1,MIN(1,AV65/'Hypothèses'!$D$19),0)</f>
      </c>
      <c r="AW66" s="2" t="e">
        <f>IF(AW64=1,MIN(1,AW65/'Hypothèses'!$D$19),0)</f>
      </c>
      <c r="AX66" s="2" t="e">
        <f>IF(AX64=1,MIN(1,AX65/'Hypothèses'!$D$19),0)</f>
      </c>
      <c r="AY66" s="2" t="e">
        <f>IF(AY64=1,MIN(1,AY65/'Hypothèses'!$D$19),0)</f>
      </c>
      <c r="AZ66" s="2" t="e">
        <f>IF(AZ64=1,MIN(1,AZ65/'Hypothèses'!$D$19),0)</f>
      </c>
      <c r="BA66" s="2" t="e">
        <f>IF(BA64=1,MIN(1,BA65/'Hypothèses'!$D$19),0)</f>
      </c>
      <c r="BB66" s="2" t="e">
        <f>IF(BB64=1,MIN(1,BB65/'Hypothèses'!$D$19),0)</f>
      </c>
      <c r="BC66" s="2" t="e">
        <f>IF(BC64=1,MIN(1,BC65/'Hypothèses'!$D$19),0)</f>
      </c>
      <c r="BD66" s="2" t="e">
        <f>IF(BD64=1,MIN(1,BD65/'Hypothèses'!$D$19),0)</f>
      </c>
      <c r="BE66" s="2" t="e">
        <f>IF(BE64=1,MIN(1,BE65/'Hypothèses'!$D$19),0)</f>
      </c>
      <c r="BF66" s="2" t="e">
        <f>IF(BF64=1,MIN(1,BF65/'Hypothèses'!$D$19),0)</f>
      </c>
      <c r="BG66" s="2" t="e">
        <f>IF(BG64=1,MIN(1,BG65/'Hypothèses'!$D$19),0)</f>
      </c>
      <c r="BH66" s="2" t="e">
        <f>IF(BH64=1,MIN(1,BH65/'Hypothèses'!$D$19),0)</f>
      </c>
      <c r="BI66" s="2" t="e">
        <f>IF(BI64=1,MIN(1,BI65/'Hypothèses'!$D$19),0)</f>
      </c>
      <c r="BJ66" s="2" t="e">
        <f>IF(BJ64=1,MIN(1,BJ65/'Hypothèses'!$D$19),0)</f>
      </c>
      <c r="BK66" s="2" t="e">
        <f>IF(BK64=1,MIN(1,BK65/'Hypothèses'!$D$19),0)</f>
      </c>
      <c r="BL66" s="2" t="e">
        <f>AVERAGE(D66:O66)</f>
      </c>
      <c r="BM66" s="2" t="e">
        <f>AVERAGE(P66:AA66)</f>
      </c>
      <c r="BN66" s="2" t="e">
        <f>AVERAGE(AB66:AM66)</f>
      </c>
      <c r="BO66" s="2" t="e">
        <f>AVERAGE(AN66:AY66)</f>
      </c>
      <c r="BP66" s="2" t="e">
        <f>AVERAGE(AZ66:BK66)</f>
      </c>
    </row>
    <row r="67">
      <c r="A67" t="str">
        <v>Commercial salarié n°20 en poste (1/0)</v>
      </c>
      <c r="B67" t="str">
        <v>0/1</v>
      </c>
      <c r="C67" s="3">
        <v>0</v>
      </c>
      <c r="D67" s="3" t="e">
        <f>IF(1&gt;='Hypothèses'!$D$46,1,0)</f>
      </c>
      <c r="E67" s="3" t="e">
        <f>IF(2&gt;='Hypothèses'!$D$46,1,0)</f>
      </c>
      <c r="F67" s="3" t="e">
        <f>IF(3&gt;='Hypothèses'!$D$46,1,0)</f>
      </c>
      <c r="G67" s="3" t="e">
        <f>IF(4&gt;='Hypothèses'!$D$46,1,0)</f>
      </c>
      <c r="H67" s="3" t="e">
        <f>IF(5&gt;='Hypothèses'!$D$46,1,0)</f>
      </c>
      <c r="I67" s="3" t="e">
        <f>IF(6&gt;='Hypothèses'!$D$46,1,0)</f>
      </c>
      <c r="J67" s="3" t="e">
        <f>IF(7&gt;='Hypothèses'!$D$46,1,0)</f>
      </c>
      <c r="K67" s="3" t="e">
        <f>IF(8&gt;='Hypothèses'!$D$46,1,0)</f>
      </c>
      <c r="L67" s="3" t="e">
        <f>IF(9&gt;='Hypothèses'!$D$46,1,0)</f>
      </c>
      <c r="M67" s="3" t="e">
        <f>IF(10&gt;='Hypothèses'!$D$46,1,0)</f>
      </c>
      <c r="N67" s="3" t="e">
        <f>IF(11&gt;='Hypothèses'!$D$46,1,0)</f>
      </c>
      <c r="O67" s="3" t="e">
        <f>IF(12&gt;='Hypothèses'!$D$46,1,0)</f>
      </c>
      <c r="P67" s="3" t="e">
        <f>IF(13&gt;='Hypothèses'!$D$46,1,0)</f>
      </c>
      <c r="Q67" s="3" t="e">
        <f>IF(14&gt;='Hypothèses'!$D$46,1,0)</f>
      </c>
      <c r="R67" s="3" t="e">
        <f>IF(15&gt;='Hypothèses'!$D$46,1,0)</f>
      </c>
      <c r="S67" s="3" t="e">
        <f>IF(16&gt;='Hypothèses'!$D$46,1,0)</f>
      </c>
      <c r="T67" s="3" t="e">
        <f>IF(17&gt;='Hypothèses'!$D$46,1,0)</f>
      </c>
      <c r="U67" s="3" t="e">
        <f>IF(18&gt;='Hypothèses'!$D$46,1,0)</f>
      </c>
      <c r="V67" s="3" t="e">
        <f>IF(19&gt;='Hypothèses'!$D$46,1,0)</f>
      </c>
      <c r="W67" s="3" t="e">
        <f>IF(20&gt;='Hypothèses'!$D$46,1,0)</f>
      </c>
      <c r="X67" s="3" t="e">
        <f>IF(21&gt;='Hypothèses'!$D$46,1,0)</f>
      </c>
      <c r="Y67" s="3" t="e">
        <f>IF(22&gt;='Hypothèses'!$D$46,1,0)</f>
      </c>
      <c r="Z67" s="3" t="e">
        <f>IF(23&gt;='Hypothèses'!$D$46,1,0)</f>
      </c>
      <c r="AA67" s="3" t="e">
        <f>IF(24&gt;='Hypothèses'!$D$46,1,0)</f>
      </c>
      <c r="AB67" s="3" t="e">
        <f>IF(25&gt;='Hypothèses'!$D$46,1,0)</f>
      </c>
      <c r="AC67" s="3" t="e">
        <f>IF(26&gt;='Hypothèses'!$D$46,1,0)</f>
      </c>
      <c r="AD67" s="3" t="e">
        <f>IF(27&gt;='Hypothèses'!$D$46,1,0)</f>
      </c>
      <c r="AE67" s="3" t="e">
        <f>IF(28&gt;='Hypothèses'!$D$46,1,0)</f>
      </c>
      <c r="AF67" s="3" t="e">
        <f>IF(29&gt;='Hypothèses'!$D$46,1,0)</f>
      </c>
      <c r="AG67" s="3" t="e">
        <f>IF(30&gt;='Hypothèses'!$D$46,1,0)</f>
      </c>
      <c r="AH67" s="3" t="e">
        <f>IF(31&gt;='Hypothèses'!$D$46,1,0)</f>
      </c>
      <c r="AI67" s="3" t="e">
        <f>IF(32&gt;='Hypothèses'!$D$46,1,0)</f>
      </c>
      <c r="AJ67" s="3" t="e">
        <f>IF(33&gt;='Hypothèses'!$D$46,1,0)</f>
      </c>
      <c r="AK67" s="3" t="e">
        <f>IF(34&gt;='Hypothèses'!$D$46,1,0)</f>
      </c>
      <c r="AL67" s="3" t="e">
        <f>IF(35&gt;='Hypothèses'!$D$46,1,0)</f>
      </c>
      <c r="AM67" s="3" t="e">
        <f>IF(36&gt;='Hypothèses'!$D$46,1,0)</f>
      </c>
      <c r="AN67" s="3" t="e">
        <f>IF(37&gt;='Hypothèses'!$D$46,1,0)</f>
      </c>
      <c r="AO67" s="3" t="e">
        <f>IF(38&gt;='Hypothèses'!$D$46,1,0)</f>
      </c>
      <c r="AP67" s="3" t="e">
        <f>IF(39&gt;='Hypothèses'!$D$46,1,0)</f>
      </c>
      <c r="AQ67" s="3" t="e">
        <f>IF(40&gt;='Hypothèses'!$D$46,1,0)</f>
      </c>
      <c r="AR67" s="3" t="e">
        <f>IF(41&gt;='Hypothèses'!$D$46,1,0)</f>
      </c>
      <c r="AS67" s="3" t="e">
        <f>IF(42&gt;='Hypothèses'!$D$46,1,0)</f>
      </c>
      <c r="AT67" s="3" t="e">
        <f>IF(43&gt;='Hypothèses'!$D$46,1,0)</f>
      </c>
      <c r="AU67" s="3" t="e">
        <f>IF(44&gt;='Hypothèses'!$D$46,1,0)</f>
      </c>
      <c r="AV67" s="3" t="e">
        <f>IF(45&gt;='Hypothèses'!$D$46,1,0)</f>
      </c>
      <c r="AW67" s="3" t="e">
        <f>IF(46&gt;='Hypothèses'!$D$46,1,0)</f>
      </c>
      <c r="AX67" s="3" t="e">
        <f>IF(47&gt;='Hypothèses'!$D$46,1,0)</f>
      </c>
      <c r="AY67" s="3" t="e">
        <f>IF(48&gt;='Hypothèses'!$D$46,1,0)</f>
      </c>
      <c r="AZ67" s="3" t="e">
        <f>IF(49&gt;='Hypothèses'!$D$46,1,0)</f>
      </c>
      <c r="BA67" s="3" t="e">
        <f>IF(50&gt;='Hypothèses'!$D$46,1,0)</f>
      </c>
      <c r="BB67" s="3" t="e">
        <f>IF(51&gt;='Hypothèses'!$D$46,1,0)</f>
      </c>
      <c r="BC67" s="3" t="e">
        <f>IF(52&gt;='Hypothèses'!$D$46,1,0)</f>
      </c>
      <c r="BD67" s="3" t="e">
        <f>IF(53&gt;='Hypothèses'!$D$46,1,0)</f>
      </c>
      <c r="BE67" s="3" t="e">
        <f>IF(54&gt;='Hypothèses'!$D$46,1,0)</f>
      </c>
      <c r="BF67" s="3" t="e">
        <f>IF(55&gt;='Hypothèses'!$D$46,1,0)</f>
      </c>
      <c r="BG67" s="3" t="e">
        <f>IF(56&gt;='Hypothèses'!$D$46,1,0)</f>
      </c>
      <c r="BH67" s="3" t="e">
        <f>IF(57&gt;='Hypothèses'!$D$46,1,0)</f>
      </c>
      <c r="BI67" s="3" t="e">
        <f>IF(58&gt;='Hypothèses'!$D$46,1,0)</f>
      </c>
      <c r="BJ67" s="3" t="e">
        <f>IF(59&gt;='Hypothèses'!$D$46,1,0)</f>
      </c>
      <c r="BK67" s="3" t="e">
        <f>IF(60&gt;='Hypothèses'!$D$46,1,0)</f>
      </c>
      <c r="BL67" s="3" t="e">
        <f>O67</f>
      </c>
      <c r="BM67" s="3" t="e">
        <f>AA67</f>
      </c>
      <c r="BN67" s="3" t="e">
        <f>AM67</f>
      </c>
      <c r="BO67" s="3" t="e">
        <f>AY67</f>
      </c>
      <c r="BP67" s="3" t="e">
        <f>BK67</f>
      </c>
    </row>
    <row r="68">
      <c r="A68" t="str">
        <v>Commercial salarié n°20 — ancienneté</v>
      </c>
      <c r="B68" t="str">
        <v>mois</v>
      </c>
      <c r="C68" s="3">
        <v>0</v>
      </c>
      <c r="D68" s="3" t="e">
        <f>IF(D67=1,C68+1,0)</f>
      </c>
      <c r="E68" s="3" t="e">
        <f>IF(E67=1,D68+1,0)</f>
      </c>
      <c r="F68" s="3" t="e">
        <f>IF(F67=1,E68+1,0)</f>
      </c>
      <c r="G68" s="3" t="e">
        <f>IF(G67=1,F68+1,0)</f>
      </c>
      <c r="H68" s="3" t="e">
        <f>IF(H67=1,G68+1,0)</f>
      </c>
      <c r="I68" s="3" t="e">
        <f>IF(I67=1,H68+1,0)</f>
      </c>
      <c r="J68" s="3" t="e">
        <f>IF(J67=1,I68+1,0)</f>
      </c>
      <c r="K68" s="3" t="e">
        <f>IF(K67=1,J68+1,0)</f>
      </c>
      <c r="L68" s="3" t="e">
        <f>IF(L67=1,K68+1,0)</f>
      </c>
      <c r="M68" s="3" t="e">
        <f>IF(M67=1,L68+1,0)</f>
      </c>
      <c r="N68" s="3" t="e">
        <f>IF(N67=1,M68+1,0)</f>
      </c>
      <c r="O68" s="3" t="e">
        <f>IF(O67=1,N68+1,0)</f>
      </c>
      <c r="P68" s="3" t="e">
        <f>IF(P67=1,O68+1,0)</f>
      </c>
      <c r="Q68" s="3" t="e">
        <f>IF(Q67=1,P68+1,0)</f>
      </c>
      <c r="R68" s="3" t="e">
        <f>IF(R67=1,Q68+1,0)</f>
      </c>
      <c r="S68" s="3" t="e">
        <f>IF(S67=1,R68+1,0)</f>
      </c>
      <c r="T68" s="3" t="e">
        <f>IF(T67=1,S68+1,0)</f>
      </c>
      <c r="U68" s="3" t="e">
        <f>IF(U67=1,T68+1,0)</f>
      </c>
      <c r="V68" s="3" t="e">
        <f>IF(V67=1,U68+1,0)</f>
      </c>
      <c r="W68" s="3" t="e">
        <f>IF(W67=1,V68+1,0)</f>
      </c>
      <c r="X68" s="3" t="e">
        <f>IF(X67=1,W68+1,0)</f>
      </c>
      <c r="Y68" s="3" t="e">
        <f>IF(Y67=1,X68+1,0)</f>
      </c>
      <c r="Z68" s="3" t="e">
        <f>IF(Z67=1,Y68+1,0)</f>
      </c>
      <c r="AA68" s="3" t="e">
        <f>IF(AA67=1,Z68+1,0)</f>
      </c>
      <c r="AB68" s="3" t="e">
        <f>IF(AB67=1,AA68+1,0)</f>
      </c>
      <c r="AC68" s="3" t="e">
        <f>IF(AC67=1,AB68+1,0)</f>
      </c>
      <c r="AD68" s="3" t="e">
        <f>IF(AD67=1,AC68+1,0)</f>
      </c>
      <c r="AE68" s="3" t="e">
        <f>IF(AE67=1,AD68+1,0)</f>
      </c>
      <c r="AF68" s="3" t="e">
        <f>IF(AF67=1,AE68+1,0)</f>
      </c>
      <c r="AG68" s="3" t="e">
        <f>IF(AG67=1,AF68+1,0)</f>
      </c>
      <c r="AH68" s="3" t="e">
        <f>IF(AH67=1,AG68+1,0)</f>
      </c>
      <c r="AI68" s="3" t="e">
        <f>IF(AI67=1,AH68+1,0)</f>
      </c>
      <c r="AJ68" s="3" t="e">
        <f>IF(AJ67=1,AI68+1,0)</f>
      </c>
      <c r="AK68" s="3" t="e">
        <f>IF(AK67=1,AJ68+1,0)</f>
      </c>
      <c r="AL68" s="3" t="e">
        <f>IF(AL67=1,AK68+1,0)</f>
      </c>
      <c r="AM68" s="3" t="e">
        <f>IF(AM67=1,AL68+1,0)</f>
      </c>
      <c r="AN68" s="3" t="e">
        <f>IF(AN67=1,AM68+1,0)</f>
      </c>
      <c r="AO68" s="3" t="e">
        <f>IF(AO67=1,AN68+1,0)</f>
      </c>
      <c r="AP68" s="3" t="e">
        <f>IF(AP67=1,AO68+1,0)</f>
      </c>
      <c r="AQ68" s="3" t="e">
        <f>IF(AQ67=1,AP68+1,0)</f>
      </c>
      <c r="AR68" s="3" t="e">
        <f>IF(AR67=1,AQ68+1,0)</f>
      </c>
      <c r="AS68" s="3" t="e">
        <f>IF(AS67=1,AR68+1,0)</f>
      </c>
      <c r="AT68" s="3" t="e">
        <f>IF(AT67=1,AS68+1,0)</f>
      </c>
      <c r="AU68" s="3" t="e">
        <f>IF(AU67=1,AT68+1,0)</f>
      </c>
      <c r="AV68" s="3" t="e">
        <f>IF(AV67=1,AU68+1,0)</f>
      </c>
      <c r="AW68" s="3" t="e">
        <f>IF(AW67=1,AV68+1,0)</f>
      </c>
      <c r="AX68" s="3" t="e">
        <f>IF(AX67=1,AW68+1,0)</f>
      </c>
      <c r="AY68" s="3" t="e">
        <f>IF(AY67=1,AX68+1,0)</f>
      </c>
      <c r="AZ68" s="3" t="e">
        <f>IF(AZ67=1,AY68+1,0)</f>
      </c>
      <c r="BA68" s="3" t="e">
        <f>IF(BA67=1,AZ68+1,0)</f>
      </c>
      <c r="BB68" s="3" t="e">
        <f>IF(BB67=1,BA68+1,0)</f>
      </c>
      <c r="BC68" s="3" t="e">
        <f>IF(BC67=1,BB68+1,0)</f>
      </c>
      <c r="BD68" s="3" t="e">
        <f>IF(BD67=1,BC68+1,0)</f>
      </c>
      <c r="BE68" s="3" t="e">
        <f>IF(BE67=1,BD68+1,0)</f>
      </c>
      <c r="BF68" s="3" t="e">
        <f>IF(BF67=1,BE68+1,0)</f>
      </c>
      <c r="BG68" s="3" t="e">
        <f>IF(BG67=1,BF68+1,0)</f>
      </c>
      <c r="BH68" s="3" t="e">
        <f>IF(BH67=1,BG68+1,0)</f>
      </c>
      <c r="BI68" s="3" t="e">
        <f>IF(BI67=1,BH68+1,0)</f>
      </c>
      <c r="BJ68" s="3" t="e">
        <f>IF(BJ67=1,BI68+1,0)</f>
      </c>
      <c r="BK68" s="3" t="e">
        <f>IF(BK67=1,BJ68+1,0)</f>
      </c>
      <c r="BL68" s="3" t="e">
        <f>O68</f>
      </c>
      <c r="BM68" s="3" t="e">
        <f>AA68</f>
      </c>
      <c r="BN68" s="3" t="e">
        <f>AM68</f>
      </c>
      <c r="BO68" s="3" t="e">
        <f>AY68</f>
      </c>
      <c r="BP68" s="3" t="e">
        <f>BK68</f>
      </c>
    </row>
    <row r="69">
      <c r="A69" t="str">
        <v>Commercial salarié n°20 — productivité (ramp)</v>
      </c>
      <c r="B69" t="str">
        <v>%</v>
      </c>
      <c r="C69" s="2">
        <v>0</v>
      </c>
      <c r="D69" s="2" t="e">
        <f>IF(D67=1,MIN(1,D68/'Hypothèses'!$D$19),0)</f>
      </c>
      <c r="E69" s="2" t="e">
        <f>IF(E67=1,MIN(1,E68/'Hypothèses'!$D$19),0)</f>
      </c>
      <c r="F69" s="2" t="e">
        <f>IF(F67=1,MIN(1,F68/'Hypothèses'!$D$19),0)</f>
      </c>
      <c r="G69" s="2" t="e">
        <f>IF(G67=1,MIN(1,G68/'Hypothèses'!$D$19),0)</f>
      </c>
      <c r="H69" s="2" t="e">
        <f>IF(H67=1,MIN(1,H68/'Hypothèses'!$D$19),0)</f>
      </c>
      <c r="I69" s="2" t="e">
        <f>IF(I67=1,MIN(1,I68/'Hypothèses'!$D$19),0)</f>
      </c>
      <c r="J69" s="2" t="e">
        <f>IF(J67=1,MIN(1,J68/'Hypothèses'!$D$19),0)</f>
      </c>
      <c r="K69" s="2" t="e">
        <f>IF(K67=1,MIN(1,K68/'Hypothèses'!$D$19),0)</f>
      </c>
      <c r="L69" s="2" t="e">
        <f>IF(L67=1,MIN(1,L68/'Hypothèses'!$D$19),0)</f>
      </c>
      <c r="M69" s="2" t="e">
        <f>IF(M67=1,MIN(1,M68/'Hypothèses'!$D$19),0)</f>
      </c>
      <c r="N69" s="2" t="e">
        <f>IF(N67=1,MIN(1,N68/'Hypothèses'!$D$19),0)</f>
      </c>
      <c r="O69" s="2" t="e">
        <f>IF(O67=1,MIN(1,O68/'Hypothèses'!$D$19),0)</f>
      </c>
      <c r="P69" s="2" t="e">
        <f>IF(P67=1,MIN(1,P68/'Hypothèses'!$D$19),0)</f>
      </c>
      <c r="Q69" s="2" t="e">
        <f>IF(Q67=1,MIN(1,Q68/'Hypothèses'!$D$19),0)</f>
      </c>
      <c r="R69" s="2" t="e">
        <f>IF(R67=1,MIN(1,R68/'Hypothèses'!$D$19),0)</f>
      </c>
      <c r="S69" s="2" t="e">
        <f>IF(S67=1,MIN(1,S68/'Hypothèses'!$D$19),0)</f>
      </c>
      <c r="T69" s="2" t="e">
        <f>IF(T67=1,MIN(1,T68/'Hypothèses'!$D$19),0)</f>
      </c>
      <c r="U69" s="2" t="e">
        <f>IF(U67=1,MIN(1,U68/'Hypothèses'!$D$19),0)</f>
      </c>
      <c r="V69" s="2" t="e">
        <f>IF(V67=1,MIN(1,V68/'Hypothèses'!$D$19),0)</f>
      </c>
      <c r="W69" s="2" t="e">
        <f>IF(W67=1,MIN(1,W68/'Hypothèses'!$D$19),0)</f>
      </c>
      <c r="X69" s="2" t="e">
        <f>IF(X67=1,MIN(1,X68/'Hypothèses'!$D$19),0)</f>
      </c>
      <c r="Y69" s="2" t="e">
        <f>IF(Y67=1,MIN(1,Y68/'Hypothèses'!$D$19),0)</f>
      </c>
      <c r="Z69" s="2" t="e">
        <f>IF(Z67=1,MIN(1,Z68/'Hypothèses'!$D$19),0)</f>
      </c>
      <c r="AA69" s="2" t="e">
        <f>IF(AA67=1,MIN(1,AA68/'Hypothèses'!$D$19),0)</f>
      </c>
      <c r="AB69" s="2" t="e">
        <f>IF(AB67=1,MIN(1,AB68/'Hypothèses'!$D$19),0)</f>
      </c>
      <c r="AC69" s="2" t="e">
        <f>IF(AC67=1,MIN(1,AC68/'Hypothèses'!$D$19),0)</f>
      </c>
      <c r="AD69" s="2" t="e">
        <f>IF(AD67=1,MIN(1,AD68/'Hypothèses'!$D$19),0)</f>
      </c>
      <c r="AE69" s="2" t="e">
        <f>IF(AE67=1,MIN(1,AE68/'Hypothèses'!$D$19),0)</f>
      </c>
      <c r="AF69" s="2" t="e">
        <f>IF(AF67=1,MIN(1,AF68/'Hypothèses'!$D$19),0)</f>
      </c>
      <c r="AG69" s="2" t="e">
        <f>IF(AG67=1,MIN(1,AG68/'Hypothèses'!$D$19),0)</f>
      </c>
      <c r="AH69" s="2" t="e">
        <f>IF(AH67=1,MIN(1,AH68/'Hypothèses'!$D$19),0)</f>
      </c>
      <c r="AI69" s="2" t="e">
        <f>IF(AI67=1,MIN(1,AI68/'Hypothèses'!$D$19),0)</f>
      </c>
      <c r="AJ69" s="2" t="e">
        <f>IF(AJ67=1,MIN(1,AJ68/'Hypothèses'!$D$19),0)</f>
      </c>
      <c r="AK69" s="2" t="e">
        <f>IF(AK67=1,MIN(1,AK68/'Hypothèses'!$D$19),0)</f>
      </c>
      <c r="AL69" s="2" t="e">
        <f>IF(AL67=1,MIN(1,AL68/'Hypothèses'!$D$19),0)</f>
      </c>
      <c r="AM69" s="2" t="e">
        <f>IF(AM67=1,MIN(1,AM68/'Hypothèses'!$D$19),0)</f>
      </c>
      <c r="AN69" s="2" t="e">
        <f>IF(AN67=1,MIN(1,AN68/'Hypothèses'!$D$19),0)</f>
      </c>
      <c r="AO69" s="2" t="e">
        <f>IF(AO67=1,MIN(1,AO68/'Hypothèses'!$D$19),0)</f>
      </c>
      <c r="AP69" s="2" t="e">
        <f>IF(AP67=1,MIN(1,AP68/'Hypothèses'!$D$19),0)</f>
      </c>
      <c r="AQ69" s="2" t="e">
        <f>IF(AQ67=1,MIN(1,AQ68/'Hypothèses'!$D$19),0)</f>
      </c>
      <c r="AR69" s="2" t="e">
        <f>IF(AR67=1,MIN(1,AR68/'Hypothèses'!$D$19),0)</f>
      </c>
      <c r="AS69" s="2" t="e">
        <f>IF(AS67=1,MIN(1,AS68/'Hypothèses'!$D$19),0)</f>
      </c>
      <c r="AT69" s="2" t="e">
        <f>IF(AT67=1,MIN(1,AT68/'Hypothèses'!$D$19),0)</f>
      </c>
      <c r="AU69" s="2" t="e">
        <f>IF(AU67=1,MIN(1,AU68/'Hypothèses'!$D$19),0)</f>
      </c>
      <c r="AV69" s="2" t="e">
        <f>IF(AV67=1,MIN(1,AV68/'Hypothèses'!$D$19),0)</f>
      </c>
      <c r="AW69" s="2" t="e">
        <f>IF(AW67=1,MIN(1,AW68/'Hypothèses'!$D$19),0)</f>
      </c>
      <c r="AX69" s="2" t="e">
        <f>IF(AX67=1,MIN(1,AX68/'Hypothèses'!$D$19),0)</f>
      </c>
      <c r="AY69" s="2" t="e">
        <f>IF(AY67=1,MIN(1,AY68/'Hypothèses'!$D$19),0)</f>
      </c>
      <c r="AZ69" s="2" t="e">
        <f>IF(AZ67=1,MIN(1,AZ68/'Hypothèses'!$D$19),0)</f>
      </c>
      <c r="BA69" s="2" t="e">
        <f>IF(BA67=1,MIN(1,BA68/'Hypothèses'!$D$19),0)</f>
      </c>
      <c r="BB69" s="2" t="e">
        <f>IF(BB67=1,MIN(1,BB68/'Hypothèses'!$D$19),0)</f>
      </c>
      <c r="BC69" s="2" t="e">
        <f>IF(BC67=1,MIN(1,BC68/'Hypothèses'!$D$19),0)</f>
      </c>
      <c r="BD69" s="2" t="e">
        <f>IF(BD67=1,MIN(1,BD68/'Hypothèses'!$D$19),0)</f>
      </c>
      <c r="BE69" s="2" t="e">
        <f>IF(BE67=1,MIN(1,BE68/'Hypothèses'!$D$19),0)</f>
      </c>
      <c r="BF69" s="2" t="e">
        <f>IF(BF67=1,MIN(1,BF68/'Hypothèses'!$D$19),0)</f>
      </c>
      <c r="BG69" s="2" t="e">
        <f>IF(BG67=1,MIN(1,BG68/'Hypothèses'!$D$19),0)</f>
      </c>
      <c r="BH69" s="2" t="e">
        <f>IF(BH67=1,MIN(1,BH68/'Hypothèses'!$D$19),0)</f>
      </c>
      <c r="BI69" s="2" t="e">
        <f>IF(BI67=1,MIN(1,BI68/'Hypothèses'!$D$19),0)</f>
      </c>
      <c r="BJ69" s="2" t="e">
        <f>IF(BJ67=1,MIN(1,BJ68/'Hypothèses'!$D$19),0)</f>
      </c>
      <c r="BK69" s="2" t="e">
        <f>IF(BK67=1,MIN(1,BK68/'Hypothèses'!$D$19),0)</f>
      </c>
      <c r="BL69" s="2" t="e">
        <f>AVERAGE(D69:O69)</f>
      </c>
      <c r="BM69" s="2" t="e">
        <f>AVERAGE(P69:AA69)</f>
      </c>
      <c r="BN69" s="2" t="e">
        <f>AVERAGE(AB69:AM69)</f>
      </c>
      <c r="BO69" s="2" t="e">
        <f>AVERAGE(AN69:AY69)</f>
      </c>
      <c r="BP69" s="2" t="e">
        <f>AVERAGE(AZ69:BK69)</f>
      </c>
    </row>
    <row r="70">
      <c r="A70" t="str">
        <v>Commercial salarié n°21 en poste (1/0)</v>
      </c>
      <c r="B70" t="str">
        <v>0/1</v>
      </c>
      <c r="C70" s="3">
        <v>0</v>
      </c>
      <c r="D70" s="3" t="e">
        <f>IF(1&gt;='Hypothèses'!$D$47,1,0)</f>
      </c>
      <c r="E70" s="3" t="e">
        <f>IF(2&gt;='Hypothèses'!$D$47,1,0)</f>
      </c>
      <c r="F70" s="3" t="e">
        <f>IF(3&gt;='Hypothèses'!$D$47,1,0)</f>
      </c>
      <c r="G70" s="3" t="e">
        <f>IF(4&gt;='Hypothèses'!$D$47,1,0)</f>
      </c>
      <c r="H70" s="3" t="e">
        <f>IF(5&gt;='Hypothèses'!$D$47,1,0)</f>
      </c>
      <c r="I70" s="3" t="e">
        <f>IF(6&gt;='Hypothèses'!$D$47,1,0)</f>
      </c>
      <c r="J70" s="3" t="e">
        <f>IF(7&gt;='Hypothèses'!$D$47,1,0)</f>
      </c>
      <c r="K70" s="3" t="e">
        <f>IF(8&gt;='Hypothèses'!$D$47,1,0)</f>
      </c>
      <c r="L70" s="3" t="e">
        <f>IF(9&gt;='Hypothèses'!$D$47,1,0)</f>
      </c>
      <c r="M70" s="3" t="e">
        <f>IF(10&gt;='Hypothèses'!$D$47,1,0)</f>
      </c>
      <c r="N70" s="3" t="e">
        <f>IF(11&gt;='Hypothèses'!$D$47,1,0)</f>
      </c>
      <c r="O70" s="3" t="e">
        <f>IF(12&gt;='Hypothèses'!$D$47,1,0)</f>
      </c>
      <c r="P70" s="3" t="e">
        <f>IF(13&gt;='Hypothèses'!$D$47,1,0)</f>
      </c>
      <c r="Q70" s="3" t="e">
        <f>IF(14&gt;='Hypothèses'!$D$47,1,0)</f>
      </c>
      <c r="R70" s="3" t="e">
        <f>IF(15&gt;='Hypothèses'!$D$47,1,0)</f>
      </c>
      <c r="S70" s="3" t="e">
        <f>IF(16&gt;='Hypothèses'!$D$47,1,0)</f>
      </c>
      <c r="T70" s="3" t="e">
        <f>IF(17&gt;='Hypothèses'!$D$47,1,0)</f>
      </c>
      <c r="U70" s="3" t="e">
        <f>IF(18&gt;='Hypothèses'!$D$47,1,0)</f>
      </c>
      <c r="V70" s="3" t="e">
        <f>IF(19&gt;='Hypothèses'!$D$47,1,0)</f>
      </c>
      <c r="W70" s="3" t="e">
        <f>IF(20&gt;='Hypothèses'!$D$47,1,0)</f>
      </c>
      <c r="X70" s="3" t="e">
        <f>IF(21&gt;='Hypothèses'!$D$47,1,0)</f>
      </c>
      <c r="Y70" s="3" t="e">
        <f>IF(22&gt;='Hypothèses'!$D$47,1,0)</f>
      </c>
      <c r="Z70" s="3" t="e">
        <f>IF(23&gt;='Hypothèses'!$D$47,1,0)</f>
      </c>
      <c r="AA70" s="3" t="e">
        <f>IF(24&gt;='Hypothèses'!$D$47,1,0)</f>
      </c>
      <c r="AB70" s="3" t="e">
        <f>IF(25&gt;='Hypothèses'!$D$47,1,0)</f>
      </c>
      <c r="AC70" s="3" t="e">
        <f>IF(26&gt;='Hypothèses'!$D$47,1,0)</f>
      </c>
      <c r="AD70" s="3" t="e">
        <f>IF(27&gt;='Hypothèses'!$D$47,1,0)</f>
      </c>
      <c r="AE70" s="3" t="e">
        <f>IF(28&gt;='Hypothèses'!$D$47,1,0)</f>
      </c>
      <c r="AF70" s="3" t="e">
        <f>IF(29&gt;='Hypothèses'!$D$47,1,0)</f>
      </c>
      <c r="AG70" s="3" t="e">
        <f>IF(30&gt;='Hypothèses'!$D$47,1,0)</f>
      </c>
      <c r="AH70" s="3" t="e">
        <f>IF(31&gt;='Hypothèses'!$D$47,1,0)</f>
      </c>
      <c r="AI70" s="3" t="e">
        <f>IF(32&gt;='Hypothèses'!$D$47,1,0)</f>
      </c>
      <c r="AJ70" s="3" t="e">
        <f>IF(33&gt;='Hypothèses'!$D$47,1,0)</f>
      </c>
      <c r="AK70" s="3" t="e">
        <f>IF(34&gt;='Hypothèses'!$D$47,1,0)</f>
      </c>
      <c r="AL70" s="3" t="e">
        <f>IF(35&gt;='Hypothèses'!$D$47,1,0)</f>
      </c>
      <c r="AM70" s="3" t="e">
        <f>IF(36&gt;='Hypothèses'!$D$47,1,0)</f>
      </c>
      <c r="AN70" s="3" t="e">
        <f>IF(37&gt;='Hypothèses'!$D$47,1,0)</f>
      </c>
      <c r="AO70" s="3" t="e">
        <f>IF(38&gt;='Hypothèses'!$D$47,1,0)</f>
      </c>
      <c r="AP70" s="3" t="e">
        <f>IF(39&gt;='Hypothèses'!$D$47,1,0)</f>
      </c>
      <c r="AQ70" s="3" t="e">
        <f>IF(40&gt;='Hypothèses'!$D$47,1,0)</f>
      </c>
      <c r="AR70" s="3" t="e">
        <f>IF(41&gt;='Hypothèses'!$D$47,1,0)</f>
      </c>
      <c r="AS70" s="3" t="e">
        <f>IF(42&gt;='Hypothèses'!$D$47,1,0)</f>
      </c>
      <c r="AT70" s="3" t="e">
        <f>IF(43&gt;='Hypothèses'!$D$47,1,0)</f>
      </c>
      <c r="AU70" s="3" t="e">
        <f>IF(44&gt;='Hypothèses'!$D$47,1,0)</f>
      </c>
      <c r="AV70" s="3" t="e">
        <f>IF(45&gt;='Hypothèses'!$D$47,1,0)</f>
      </c>
      <c r="AW70" s="3" t="e">
        <f>IF(46&gt;='Hypothèses'!$D$47,1,0)</f>
      </c>
      <c r="AX70" s="3" t="e">
        <f>IF(47&gt;='Hypothèses'!$D$47,1,0)</f>
      </c>
      <c r="AY70" s="3" t="e">
        <f>IF(48&gt;='Hypothèses'!$D$47,1,0)</f>
      </c>
      <c r="AZ70" s="3" t="e">
        <f>IF(49&gt;='Hypothèses'!$D$47,1,0)</f>
      </c>
      <c r="BA70" s="3" t="e">
        <f>IF(50&gt;='Hypothèses'!$D$47,1,0)</f>
      </c>
      <c r="BB70" s="3" t="e">
        <f>IF(51&gt;='Hypothèses'!$D$47,1,0)</f>
      </c>
      <c r="BC70" s="3" t="e">
        <f>IF(52&gt;='Hypothèses'!$D$47,1,0)</f>
      </c>
      <c r="BD70" s="3" t="e">
        <f>IF(53&gt;='Hypothèses'!$D$47,1,0)</f>
      </c>
      <c r="BE70" s="3" t="e">
        <f>IF(54&gt;='Hypothèses'!$D$47,1,0)</f>
      </c>
      <c r="BF70" s="3" t="e">
        <f>IF(55&gt;='Hypothèses'!$D$47,1,0)</f>
      </c>
      <c r="BG70" s="3" t="e">
        <f>IF(56&gt;='Hypothèses'!$D$47,1,0)</f>
      </c>
      <c r="BH70" s="3" t="e">
        <f>IF(57&gt;='Hypothèses'!$D$47,1,0)</f>
      </c>
      <c r="BI70" s="3" t="e">
        <f>IF(58&gt;='Hypothèses'!$D$47,1,0)</f>
      </c>
      <c r="BJ70" s="3" t="e">
        <f>IF(59&gt;='Hypothèses'!$D$47,1,0)</f>
      </c>
      <c r="BK70" s="3" t="e">
        <f>IF(60&gt;='Hypothèses'!$D$47,1,0)</f>
      </c>
      <c r="BL70" s="3" t="e">
        <f>O70</f>
      </c>
      <c r="BM70" s="3" t="e">
        <f>AA70</f>
      </c>
      <c r="BN70" s="3" t="e">
        <f>AM70</f>
      </c>
      <c r="BO70" s="3" t="e">
        <f>AY70</f>
      </c>
      <c r="BP70" s="3" t="e">
        <f>BK70</f>
      </c>
    </row>
    <row r="71">
      <c r="A71" t="str">
        <v>Commercial salarié n°21 — ancienneté</v>
      </c>
      <c r="B71" t="str">
        <v>mois</v>
      </c>
      <c r="C71" s="3">
        <v>0</v>
      </c>
      <c r="D71" s="3" t="e">
        <f>IF(D70=1,C71+1,0)</f>
      </c>
      <c r="E71" s="3" t="e">
        <f>IF(E70=1,D71+1,0)</f>
      </c>
      <c r="F71" s="3" t="e">
        <f>IF(F70=1,E71+1,0)</f>
      </c>
      <c r="G71" s="3" t="e">
        <f>IF(G70=1,F71+1,0)</f>
      </c>
      <c r="H71" s="3" t="e">
        <f>IF(H70=1,G71+1,0)</f>
      </c>
      <c r="I71" s="3" t="e">
        <f>IF(I70=1,H71+1,0)</f>
      </c>
      <c r="J71" s="3" t="e">
        <f>IF(J70=1,I71+1,0)</f>
      </c>
      <c r="K71" s="3" t="e">
        <f>IF(K70=1,J71+1,0)</f>
      </c>
      <c r="L71" s="3" t="e">
        <f>IF(L70=1,K71+1,0)</f>
      </c>
      <c r="M71" s="3" t="e">
        <f>IF(M70=1,L71+1,0)</f>
      </c>
      <c r="N71" s="3" t="e">
        <f>IF(N70=1,M71+1,0)</f>
      </c>
      <c r="O71" s="3" t="e">
        <f>IF(O70=1,N71+1,0)</f>
      </c>
      <c r="P71" s="3" t="e">
        <f>IF(P70=1,O71+1,0)</f>
      </c>
      <c r="Q71" s="3" t="e">
        <f>IF(Q70=1,P71+1,0)</f>
      </c>
      <c r="R71" s="3" t="e">
        <f>IF(R70=1,Q71+1,0)</f>
      </c>
      <c r="S71" s="3" t="e">
        <f>IF(S70=1,R71+1,0)</f>
      </c>
      <c r="T71" s="3" t="e">
        <f>IF(T70=1,S71+1,0)</f>
      </c>
      <c r="U71" s="3" t="e">
        <f>IF(U70=1,T71+1,0)</f>
      </c>
      <c r="V71" s="3" t="e">
        <f>IF(V70=1,U71+1,0)</f>
      </c>
      <c r="W71" s="3" t="e">
        <f>IF(W70=1,V71+1,0)</f>
      </c>
      <c r="X71" s="3" t="e">
        <f>IF(X70=1,W71+1,0)</f>
      </c>
      <c r="Y71" s="3" t="e">
        <f>IF(Y70=1,X71+1,0)</f>
      </c>
      <c r="Z71" s="3" t="e">
        <f>IF(Z70=1,Y71+1,0)</f>
      </c>
      <c r="AA71" s="3" t="e">
        <f>IF(AA70=1,Z71+1,0)</f>
      </c>
      <c r="AB71" s="3" t="e">
        <f>IF(AB70=1,AA71+1,0)</f>
      </c>
      <c r="AC71" s="3" t="e">
        <f>IF(AC70=1,AB71+1,0)</f>
      </c>
      <c r="AD71" s="3" t="e">
        <f>IF(AD70=1,AC71+1,0)</f>
      </c>
      <c r="AE71" s="3" t="e">
        <f>IF(AE70=1,AD71+1,0)</f>
      </c>
      <c r="AF71" s="3" t="e">
        <f>IF(AF70=1,AE71+1,0)</f>
      </c>
      <c r="AG71" s="3" t="e">
        <f>IF(AG70=1,AF71+1,0)</f>
      </c>
      <c r="AH71" s="3" t="e">
        <f>IF(AH70=1,AG71+1,0)</f>
      </c>
      <c r="AI71" s="3" t="e">
        <f>IF(AI70=1,AH71+1,0)</f>
      </c>
      <c r="AJ71" s="3" t="e">
        <f>IF(AJ70=1,AI71+1,0)</f>
      </c>
      <c r="AK71" s="3" t="e">
        <f>IF(AK70=1,AJ71+1,0)</f>
      </c>
      <c r="AL71" s="3" t="e">
        <f>IF(AL70=1,AK71+1,0)</f>
      </c>
      <c r="AM71" s="3" t="e">
        <f>IF(AM70=1,AL71+1,0)</f>
      </c>
      <c r="AN71" s="3" t="e">
        <f>IF(AN70=1,AM71+1,0)</f>
      </c>
      <c r="AO71" s="3" t="e">
        <f>IF(AO70=1,AN71+1,0)</f>
      </c>
      <c r="AP71" s="3" t="e">
        <f>IF(AP70=1,AO71+1,0)</f>
      </c>
      <c r="AQ71" s="3" t="e">
        <f>IF(AQ70=1,AP71+1,0)</f>
      </c>
      <c r="AR71" s="3" t="e">
        <f>IF(AR70=1,AQ71+1,0)</f>
      </c>
      <c r="AS71" s="3" t="e">
        <f>IF(AS70=1,AR71+1,0)</f>
      </c>
      <c r="AT71" s="3" t="e">
        <f>IF(AT70=1,AS71+1,0)</f>
      </c>
      <c r="AU71" s="3" t="e">
        <f>IF(AU70=1,AT71+1,0)</f>
      </c>
      <c r="AV71" s="3" t="e">
        <f>IF(AV70=1,AU71+1,0)</f>
      </c>
      <c r="AW71" s="3" t="e">
        <f>IF(AW70=1,AV71+1,0)</f>
      </c>
      <c r="AX71" s="3" t="e">
        <f>IF(AX70=1,AW71+1,0)</f>
      </c>
      <c r="AY71" s="3" t="e">
        <f>IF(AY70=1,AX71+1,0)</f>
      </c>
      <c r="AZ71" s="3" t="e">
        <f>IF(AZ70=1,AY71+1,0)</f>
      </c>
      <c r="BA71" s="3" t="e">
        <f>IF(BA70=1,AZ71+1,0)</f>
      </c>
      <c r="BB71" s="3" t="e">
        <f>IF(BB70=1,BA71+1,0)</f>
      </c>
      <c r="BC71" s="3" t="e">
        <f>IF(BC70=1,BB71+1,0)</f>
      </c>
      <c r="BD71" s="3" t="e">
        <f>IF(BD70=1,BC71+1,0)</f>
      </c>
      <c r="BE71" s="3" t="e">
        <f>IF(BE70=1,BD71+1,0)</f>
      </c>
      <c r="BF71" s="3" t="e">
        <f>IF(BF70=1,BE71+1,0)</f>
      </c>
      <c r="BG71" s="3" t="e">
        <f>IF(BG70=1,BF71+1,0)</f>
      </c>
      <c r="BH71" s="3" t="e">
        <f>IF(BH70=1,BG71+1,0)</f>
      </c>
      <c r="BI71" s="3" t="e">
        <f>IF(BI70=1,BH71+1,0)</f>
      </c>
      <c r="BJ71" s="3" t="e">
        <f>IF(BJ70=1,BI71+1,0)</f>
      </c>
      <c r="BK71" s="3" t="e">
        <f>IF(BK70=1,BJ71+1,0)</f>
      </c>
      <c r="BL71" s="3" t="e">
        <f>O71</f>
      </c>
      <c r="BM71" s="3" t="e">
        <f>AA71</f>
      </c>
      <c r="BN71" s="3" t="e">
        <f>AM71</f>
      </c>
      <c r="BO71" s="3" t="e">
        <f>AY71</f>
      </c>
      <c r="BP71" s="3" t="e">
        <f>BK71</f>
      </c>
    </row>
    <row r="72">
      <c r="A72" t="str">
        <v>Commercial salarié n°21 — productivité (ramp)</v>
      </c>
      <c r="B72" t="str">
        <v>%</v>
      </c>
      <c r="C72" s="2">
        <v>0</v>
      </c>
      <c r="D72" s="2" t="e">
        <f>IF(D70=1,MIN(1,D71/'Hypothèses'!$D$19),0)</f>
      </c>
      <c r="E72" s="2" t="e">
        <f>IF(E70=1,MIN(1,E71/'Hypothèses'!$D$19),0)</f>
      </c>
      <c r="F72" s="2" t="e">
        <f>IF(F70=1,MIN(1,F71/'Hypothèses'!$D$19),0)</f>
      </c>
      <c r="G72" s="2" t="e">
        <f>IF(G70=1,MIN(1,G71/'Hypothèses'!$D$19),0)</f>
      </c>
      <c r="H72" s="2" t="e">
        <f>IF(H70=1,MIN(1,H71/'Hypothèses'!$D$19),0)</f>
      </c>
      <c r="I72" s="2" t="e">
        <f>IF(I70=1,MIN(1,I71/'Hypothèses'!$D$19),0)</f>
      </c>
      <c r="J72" s="2" t="e">
        <f>IF(J70=1,MIN(1,J71/'Hypothèses'!$D$19),0)</f>
      </c>
      <c r="K72" s="2" t="e">
        <f>IF(K70=1,MIN(1,K71/'Hypothèses'!$D$19),0)</f>
      </c>
      <c r="L72" s="2" t="e">
        <f>IF(L70=1,MIN(1,L71/'Hypothèses'!$D$19),0)</f>
      </c>
      <c r="M72" s="2" t="e">
        <f>IF(M70=1,MIN(1,M71/'Hypothèses'!$D$19),0)</f>
      </c>
      <c r="N72" s="2" t="e">
        <f>IF(N70=1,MIN(1,N71/'Hypothèses'!$D$19),0)</f>
      </c>
      <c r="O72" s="2" t="e">
        <f>IF(O70=1,MIN(1,O71/'Hypothèses'!$D$19),0)</f>
      </c>
      <c r="P72" s="2" t="e">
        <f>IF(P70=1,MIN(1,P71/'Hypothèses'!$D$19),0)</f>
      </c>
      <c r="Q72" s="2" t="e">
        <f>IF(Q70=1,MIN(1,Q71/'Hypothèses'!$D$19),0)</f>
      </c>
      <c r="R72" s="2" t="e">
        <f>IF(R70=1,MIN(1,R71/'Hypothèses'!$D$19),0)</f>
      </c>
      <c r="S72" s="2" t="e">
        <f>IF(S70=1,MIN(1,S71/'Hypothèses'!$D$19),0)</f>
      </c>
      <c r="T72" s="2" t="e">
        <f>IF(T70=1,MIN(1,T71/'Hypothèses'!$D$19),0)</f>
      </c>
      <c r="U72" s="2" t="e">
        <f>IF(U70=1,MIN(1,U71/'Hypothèses'!$D$19),0)</f>
      </c>
      <c r="V72" s="2" t="e">
        <f>IF(V70=1,MIN(1,V71/'Hypothèses'!$D$19),0)</f>
      </c>
      <c r="W72" s="2" t="e">
        <f>IF(W70=1,MIN(1,W71/'Hypothèses'!$D$19),0)</f>
      </c>
      <c r="X72" s="2" t="e">
        <f>IF(X70=1,MIN(1,X71/'Hypothèses'!$D$19),0)</f>
      </c>
      <c r="Y72" s="2" t="e">
        <f>IF(Y70=1,MIN(1,Y71/'Hypothèses'!$D$19),0)</f>
      </c>
      <c r="Z72" s="2" t="e">
        <f>IF(Z70=1,MIN(1,Z71/'Hypothèses'!$D$19),0)</f>
      </c>
      <c r="AA72" s="2" t="e">
        <f>IF(AA70=1,MIN(1,AA71/'Hypothèses'!$D$19),0)</f>
      </c>
      <c r="AB72" s="2" t="e">
        <f>IF(AB70=1,MIN(1,AB71/'Hypothèses'!$D$19),0)</f>
      </c>
      <c r="AC72" s="2" t="e">
        <f>IF(AC70=1,MIN(1,AC71/'Hypothèses'!$D$19),0)</f>
      </c>
      <c r="AD72" s="2" t="e">
        <f>IF(AD70=1,MIN(1,AD71/'Hypothèses'!$D$19),0)</f>
      </c>
      <c r="AE72" s="2" t="e">
        <f>IF(AE70=1,MIN(1,AE71/'Hypothèses'!$D$19),0)</f>
      </c>
      <c r="AF72" s="2" t="e">
        <f>IF(AF70=1,MIN(1,AF71/'Hypothèses'!$D$19),0)</f>
      </c>
      <c r="AG72" s="2" t="e">
        <f>IF(AG70=1,MIN(1,AG71/'Hypothèses'!$D$19),0)</f>
      </c>
      <c r="AH72" s="2" t="e">
        <f>IF(AH70=1,MIN(1,AH71/'Hypothèses'!$D$19),0)</f>
      </c>
      <c r="AI72" s="2" t="e">
        <f>IF(AI70=1,MIN(1,AI71/'Hypothèses'!$D$19),0)</f>
      </c>
      <c r="AJ72" s="2" t="e">
        <f>IF(AJ70=1,MIN(1,AJ71/'Hypothèses'!$D$19),0)</f>
      </c>
      <c r="AK72" s="2" t="e">
        <f>IF(AK70=1,MIN(1,AK71/'Hypothèses'!$D$19),0)</f>
      </c>
      <c r="AL72" s="2" t="e">
        <f>IF(AL70=1,MIN(1,AL71/'Hypothèses'!$D$19),0)</f>
      </c>
      <c r="AM72" s="2" t="e">
        <f>IF(AM70=1,MIN(1,AM71/'Hypothèses'!$D$19),0)</f>
      </c>
      <c r="AN72" s="2" t="e">
        <f>IF(AN70=1,MIN(1,AN71/'Hypothèses'!$D$19),0)</f>
      </c>
      <c r="AO72" s="2" t="e">
        <f>IF(AO70=1,MIN(1,AO71/'Hypothèses'!$D$19),0)</f>
      </c>
      <c r="AP72" s="2" t="e">
        <f>IF(AP70=1,MIN(1,AP71/'Hypothèses'!$D$19),0)</f>
      </c>
      <c r="AQ72" s="2" t="e">
        <f>IF(AQ70=1,MIN(1,AQ71/'Hypothèses'!$D$19),0)</f>
      </c>
      <c r="AR72" s="2" t="e">
        <f>IF(AR70=1,MIN(1,AR71/'Hypothèses'!$D$19),0)</f>
      </c>
      <c r="AS72" s="2" t="e">
        <f>IF(AS70=1,MIN(1,AS71/'Hypothèses'!$D$19),0)</f>
      </c>
      <c r="AT72" s="2" t="e">
        <f>IF(AT70=1,MIN(1,AT71/'Hypothèses'!$D$19),0)</f>
      </c>
      <c r="AU72" s="2" t="e">
        <f>IF(AU70=1,MIN(1,AU71/'Hypothèses'!$D$19),0)</f>
      </c>
      <c r="AV72" s="2" t="e">
        <f>IF(AV70=1,MIN(1,AV71/'Hypothèses'!$D$19),0)</f>
      </c>
      <c r="AW72" s="2" t="e">
        <f>IF(AW70=1,MIN(1,AW71/'Hypothèses'!$D$19),0)</f>
      </c>
      <c r="AX72" s="2" t="e">
        <f>IF(AX70=1,MIN(1,AX71/'Hypothèses'!$D$19),0)</f>
      </c>
      <c r="AY72" s="2" t="e">
        <f>IF(AY70=1,MIN(1,AY71/'Hypothèses'!$D$19),0)</f>
      </c>
      <c r="AZ72" s="2" t="e">
        <f>IF(AZ70=1,MIN(1,AZ71/'Hypothèses'!$D$19),0)</f>
      </c>
      <c r="BA72" s="2" t="e">
        <f>IF(BA70=1,MIN(1,BA71/'Hypothèses'!$D$19),0)</f>
      </c>
      <c r="BB72" s="2" t="e">
        <f>IF(BB70=1,MIN(1,BB71/'Hypothèses'!$D$19),0)</f>
      </c>
      <c r="BC72" s="2" t="e">
        <f>IF(BC70=1,MIN(1,BC71/'Hypothèses'!$D$19),0)</f>
      </c>
      <c r="BD72" s="2" t="e">
        <f>IF(BD70=1,MIN(1,BD71/'Hypothèses'!$D$19),0)</f>
      </c>
      <c r="BE72" s="2" t="e">
        <f>IF(BE70=1,MIN(1,BE71/'Hypothèses'!$D$19),0)</f>
      </c>
      <c r="BF72" s="2" t="e">
        <f>IF(BF70=1,MIN(1,BF71/'Hypothèses'!$D$19),0)</f>
      </c>
      <c r="BG72" s="2" t="e">
        <f>IF(BG70=1,MIN(1,BG71/'Hypothèses'!$D$19),0)</f>
      </c>
      <c r="BH72" s="2" t="e">
        <f>IF(BH70=1,MIN(1,BH71/'Hypothèses'!$D$19),0)</f>
      </c>
      <c r="BI72" s="2" t="e">
        <f>IF(BI70=1,MIN(1,BI71/'Hypothèses'!$D$19),0)</f>
      </c>
      <c r="BJ72" s="2" t="e">
        <f>IF(BJ70=1,MIN(1,BJ71/'Hypothèses'!$D$19),0)</f>
      </c>
      <c r="BK72" s="2" t="e">
        <f>IF(BK70=1,MIN(1,BK71/'Hypothèses'!$D$19),0)</f>
      </c>
      <c r="BL72" s="2" t="e">
        <f>AVERAGE(D72:O72)</f>
      </c>
      <c r="BM72" s="2" t="e">
        <f>AVERAGE(P72:AA72)</f>
      </c>
      <c r="BN72" s="2" t="e">
        <f>AVERAGE(AB72:AM72)</f>
      </c>
      <c r="BO72" s="2" t="e">
        <f>AVERAGE(AN72:AY72)</f>
      </c>
      <c r="BP72" s="2" t="e">
        <f>AVERAGE(AZ72:BK72)</f>
      </c>
    </row>
    <row r="73">
      <c r="A73" t="str">
        <v>Commercial salarié n°22 en poste (1/0)</v>
      </c>
      <c r="B73" t="str">
        <v>0/1</v>
      </c>
      <c r="C73" s="3">
        <v>0</v>
      </c>
      <c r="D73" s="3" t="e">
        <f>IF(1&gt;='Hypothèses'!$D$48,1,0)</f>
      </c>
      <c r="E73" s="3" t="e">
        <f>IF(2&gt;='Hypothèses'!$D$48,1,0)</f>
      </c>
      <c r="F73" s="3" t="e">
        <f>IF(3&gt;='Hypothèses'!$D$48,1,0)</f>
      </c>
      <c r="G73" s="3" t="e">
        <f>IF(4&gt;='Hypothèses'!$D$48,1,0)</f>
      </c>
      <c r="H73" s="3" t="e">
        <f>IF(5&gt;='Hypothèses'!$D$48,1,0)</f>
      </c>
      <c r="I73" s="3" t="e">
        <f>IF(6&gt;='Hypothèses'!$D$48,1,0)</f>
      </c>
      <c r="J73" s="3" t="e">
        <f>IF(7&gt;='Hypothèses'!$D$48,1,0)</f>
      </c>
      <c r="K73" s="3" t="e">
        <f>IF(8&gt;='Hypothèses'!$D$48,1,0)</f>
      </c>
      <c r="L73" s="3" t="e">
        <f>IF(9&gt;='Hypothèses'!$D$48,1,0)</f>
      </c>
      <c r="M73" s="3" t="e">
        <f>IF(10&gt;='Hypothèses'!$D$48,1,0)</f>
      </c>
      <c r="N73" s="3" t="e">
        <f>IF(11&gt;='Hypothèses'!$D$48,1,0)</f>
      </c>
      <c r="O73" s="3" t="e">
        <f>IF(12&gt;='Hypothèses'!$D$48,1,0)</f>
      </c>
      <c r="P73" s="3" t="e">
        <f>IF(13&gt;='Hypothèses'!$D$48,1,0)</f>
      </c>
      <c r="Q73" s="3" t="e">
        <f>IF(14&gt;='Hypothèses'!$D$48,1,0)</f>
      </c>
      <c r="R73" s="3" t="e">
        <f>IF(15&gt;='Hypothèses'!$D$48,1,0)</f>
      </c>
      <c r="S73" s="3" t="e">
        <f>IF(16&gt;='Hypothèses'!$D$48,1,0)</f>
      </c>
      <c r="T73" s="3" t="e">
        <f>IF(17&gt;='Hypothèses'!$D$48,1,0)</f>
      </c>
      <c r="U73" s="3" t="e">
        <f>IF(18&gt;='Hypothèses'!$D$48,1,0)</f>
      </c>
      <c r="V73" s="3" t="e">
        <f>IF(19&gt;='Hypothèses'!$D$48,1,0)</f>
      </c>
      <c r="W73" s="3" t="e">
        <f>IF(20&gt;='Hypothèses'!$D$48,1,0)</f>
      </c>
      <c r="X73" s="3" t="e">
        <f>IF(21&gt;='Hypothèses'!$D$48,1,0)</f>
      </c>
      <c r="Y73" s="3" t="e">
        <f>IF(22&gt;='Hypothèses'!$D$48,1,0)</f>
      </c>
      <c r="Z73" s="3" t="e">
        <f>IF(23&gt;='Hypothèses'!$D$48,1,0)</f>
      </c>
      <c r="AA73" s="3" t="e">
        <f>IF(24&gt;='Hypothèses'!$D$48,1,0)</f>
      </c>
      <c r="AB73" s="3" t="e">
        <f>IF(25&gt;='Hypothèses'!$D$48,1,0)</f>
      </c>
      <c r="AC73" s="3" t="e">
        <f>IF(26&gt;='Hypothèses'!$D$48,1,0)</f>
      </c>
      <c r="AD73" s="3" t="e">
        <f>IF(27&gt;='Hypothèses'!$D$48,1,0)</f>
      </c>
      <c r="AE73" s="3" t="e">
        <f>IF(28&gt;='Hypothèses'!$D$48,1,0)</f>
      </c>
      <c r="AF73" s="3" t="e">
        <f>IF(29&gt;='Hypothèses'!$D$48,1,0)</f>
      </c>
      <c r="AG73" s="3" t="e">
        <f>IF(30&gt;='Hypothèses'!$D$48,1,0)</f>
      </c>
      <c r="AH73" s="3" t="e">
        <f>IF(31&gt;='Hypothèses'!$D$48,1,0)</f>
      </c>
      <c r="AI73" s="3" t="e">
        <f>IF(32&gt;='Hypothèses'!$D$48,1,0)</f>
      </c>
      <c r="AJ73" s="3" t="e">
        <f>IF(33&gt;='Hypothèses'!$D$48,1,0)</f>
      </c>
      <c r="AK73" s="3" t="e">
        <f>IF(34&gt;='Hypothèses'!$D$48,1,0)</f>
      </c>
      <c r="AL73" s="3" t="e">
        <f>IF(35&gt;='Hypothèses'!$D$48,1,0)</f>
      </c>
      <c r="AM73" s="3" t="e">
        <f>IF(36&gt;='Hypothèses'!$D$48,1,0)</f>
      </c>
      <c r="AN73" s="3" t="e">
        <f>IF(37&gt;='Hypothèses'!$D$48,1,0)</f>
      </c>
      <c r="AO73" s="3" t="e">
        <f>IF(38&gt;='Hypothèses'!$D$48,1,0)</f>
      </c>
      <c r="AP73" s="3" t="e">
        <f>IF(39&gt;='Hypothèses'!$D$48,1,0)</f>
      </c>
      <c r="AQ73" s="3" t="e">
        <f>IF(40&gt;='Hypothèses'!$D$48,1,0)</f>
      </c>
      <c r="AR73" s="3" t="e">
        <f>IF(41&gt;='Hypothèses'!$D$48,1,0)</f>
      </c>
      <c r="AS73" s="3" t="e">
        <f>IF(42&gt;='Hypothèses'!$D$48,1,0)</f>
      </c>
      <c r="AT73" s="3" t="e">
        <f>IF(43&gt;='Hypothèses'!$D$48,1,0)</f>
      </c>
      <c r="AU73" s="3" t="e">
        <f>IF(44&gt;='Hypothèses'!$D$48,1,0)</f>
      </c>
      <c r="AV73" s="3" t="e">
        <f>IF(45&gt;='Hypothèses'!$D$48,1,0)</f>
      </c>
      <c r="AW73" s="3" t="e">
        <f>IF(46&gt;='Hypothèses'!$D$48,1,0)</f>
      </c>
      <c r="AX73" s="3" t="e">
        <f>IF(47&gt;='Hypothèses'!$D$48,1,0)</f>
      </c>
      <c r="AY73" s="3" t="e">
        <f>IF(48&gt;='Hypothèses'!$D$48,1,0)</f>
      </c>
      <c r="AZ73" s="3" t="e">
        <f>IF(49&gt;='Hypothèses'!$D$48,1,0)</f>
      </c>
      <c r="BA73" s="3" t="e">
        <f>IF(50&gt;='Hypothèses'!$D$48,1,0)</f>
      </c>
      <c r="BB73" s="3" t="e">
        <f>IF(51&gt;='Hypothèses'!$D$48,1,0)</f>
      </c>
      <c r="BC73" s="3" t="e">
        <f>IF(52&gt;='Hypothèses'!$D$48,1,0)</f>
      </c>
      <c r="BD73" s="3" t="e">
        <f>IF(53&gt;='Hypothèses'!$D$48,1,0)</f>
      </c>
      <c r="BE73" s="3" t="e">
        <f>IF(54&gt;='Hypothèses'!$D$48,1,0)</f>
      </c>
      <c r="BF73" s="3" t="e">
        <f>IF(55&gt;='Hypothèses'!$D$48,1,0)</f>
      </c>
      <c r="BG73" s="3" t="e">
        <f>IF(56&gt;='Hypothèses'!$D$48,1,0)</f>
      </c>
      <c r="BH73" s="3" t="e">
        <f>IF(57&gt;='Hypothèses'!$D$48,1,0)</f>
      </c>
      <c r="BI73" s="3" t="e">
        <f>IF(58&gt;='Hypothèses'!$D$48,1,0)</f>
      </c>
      <c r="BJ73" s="3" t="e">
        <f>IF(59&gt;='Hypothèses'!$D$48,1,0)</f>
      </c>
      <c r="BK73" s="3" t="e">
        <f>IF(60&gt;='Hypothèses'!$D$48,1,0)</f>
      </c>
      <c r="BL73" s="3" t="e">
        <f>O73</f>
      </c>
      <c r="BM73" s="3" t="e">
        <f>AA73</f>
      </c>
      <c r="BN73" s="3" t="e">
        <f>AM73</f>
      </c>
      <c r="BO73" s="3" t="e">
        <f>AY73</f>
      </c>
      <c r="BP73" s="3" t="e">
        <f>BK73</f>
      </c>
    </row>
    <row r="74">
      <c r="A74" t="str">
        <v>Commercial salarié n°22 — ancienneté</v>
      </c>
      <c r="B74" t="str">
        <v>mois</v>
      </c>
      <c r="C74" s="3">
        <v>0</v>
      </c>
      <c r="D74" s="3" t="e">
        <f>IF(D73=1,C74+1,0)</f>
      </c>
      <c r="E74" s="3" t="e">
        <f>IF(E73=1,D74+1,0)</f>
      </c>
      <c r="F74" s="3" t="e">
        <f>IF(F73=1,E74+1,0)</f>
      </c>
      <c r="G74" s="3" t="e">
        <f>IF(G73=1,F74+1,0)</f>
      </c>
      <c r="H74" s="3" t="e">
        <f>IF(H73=1,G74+1,0)</f>
      </c>
      <c r="I74" s="3" t="e">
        <f>IF(I73=1,H74+1,0)</f>
      </c>
      <c r="J74" s="3" t="e">
        <f>IF(J73=1,I74+1,0)</f>
      </c>
      <c r="K74" s="3" t="e">
        <f>IF(K73=1,J74+1,0)</f>
      </c>
      <c r="L74" s="3" t="e">
        <f>IF(L73=1,K74+1,0)</f>
      </c>
      <c r="M74" s="3" t="e">
        <f>IF(M73=1,L74+1,0)</f>
      </c>
      <c r="N74" s="3" t="e">
        <f>IF(N73=1,M74+1,0)</f>
      </c>
      <c r="O74" s="3" t="e">
        <f>IF(O73=1,N74+1,0)</f>
      </c>
      <c r="P74" s="3" t="e">
        <f>IF(P73=1,O74+1,0)</f>
      </c>
      <c r="Q74" s="3" t="e">
        <f>IF(Q73=1,P74+1,0)</f>
      </c>
      <c r="R74" s="3" t="e">
        <f>IF(R73=1,Q74+1,0)</f>
      </c>
      <c r="S74" s="3" t="e">
        <f>IF(S73=1,R74+1,0)</f>
      </c>
      <c r="T74" s="3" t="e">
        <f>IF(T73=1,S74+1,0)</f>
      </c>
      <c r="U74" s="3" t="e">
        <f>IF(U73=1,T74+1,0)</f>
      </c>
      <c r="V74" s="3" t="e">
        <f>IF(V73=1,U74+1,0)</f>
      </c>
      <c r="W74" s="3" t="e">
        <f>IF(W73=1,V74+1,0)</f>
      </c>
      <c r="X74" s="3" t="e">
        <f>IF(X73=1,W74+1,0)</f>
      </c>
      <c r="Y74" s="3" t="e">
        <f>IF(Y73=1,X74+1,0)</f>
      </c>
      <c r="Z74" s="3" t="e">
        <f>IF(Z73=1,Y74+1,0)</f>
      </c>
      <c r="AA74" s="3" t="e">
        <f>IF(AA73=1,Z74+1,0)</f>
      </c>
      <c r="AB74" s="3" t="e">
        <f>IF(AB73=1,AA74+1,0)</f>
      </c>
      <c r="AC74" s="3" t="e">
        <f>IF(AC73=1,AB74+1,0)</f>
      </c>
      <c r="AD74" s="3" t="e">
        <f>IF(AD73=1,AC74+1,0)</f>
      </c>
      <c r="AE74" s="3" t="e">
        <f>IF(AE73=1,AD74+1,0)</f>
      </c>
      <c r="AF74" s="3" t="e">
        <f>IF(AF73=1,AE74+1,0)</f>
      </c>
      <c r="AG74" s="3" t="e">
        <f>IF(AG73=1,AF74+1,0)</f>
      </c>
      <c r="AH74" s="3" t="e">
        <f>IF(AH73=1,AG74+1,0)</f>
      </c>
      <c r="AI74" s="3" t="e">
        <f>IF(AI73=1,AH74+1,0)</f>
      </c>
      <c r="AJ74" s="3" t="e">
        <f>IF(AJ73=1,AI74+1,0)</f>
      </c>
      <c r="AK74" s="3" t="e">
        <f>IF(AK73=1,AJ74+1,0)</f>
      </c>
      <c r="AL74" s="3" t="e">
        <f>IF(AL73=1,AK74+1,0)</f>
      </c>
      <c r="AM74" s="3" t="e">
        <f>IF(AM73=1,AL74+1,0)</f>
      </c>
      <c r="AN74" s="3" t="e">
        <f>IF(AN73=1,AM74+1,0)</f>
      </c>
      <c r="AO74" s="3" t="e">
        <f>IF(AO73=1,AN74+1,0)</f>
      </c>
      <c r="AP74" s="3" t="e">
        <f>IF(AP73=1,AO74+1,0)</f>
      </c>
      <c r="AQ74" s="3" t="e">
        <f>IF(AQ73=1,AP74+1,0)</f>
      </c>
      <c r="AR74" s="3" t="e">
        <f>IF(AR73=1,AQ74+1,0)</f>
      </c>
      <c r="AS74" s="3" t="e">
        <f>IF(AS73=1,AR74+1,0)</f>
      </c>
      <c r="AT74" s="3" t="e">
        <f>IF(AT73=1,AS74+1,0)</f>
      </c>
      <c r="AU74" s="3" t="e">
        <f>IF(AU73=1,AT74+1,0)</f>
      </c>
      <c r="AV74" s="3" t="e">
        <f>IF(AV73=1,AU74+1,0)</f>
      </c>
      <c r="AW74" s="3" t="e">
        <f>IF(AW73=1,AV74+1,0)</f>
      </c>
      <c r="AX74" s="3" t="e">
        <f>IF(AX73=1,AW74+1,0)</f>
      </c>
      <c r="AY74" s="3" t="e">
        <f>IF(AY73=1,AX74+1,0)</f>
      </c>
      <c r="AZ74" s="3" t="e">
        <f>IF(AZ73=1,AY74+1,0)</f>
      </c>
      <c r="BA74" s="3" t="e">
        <f>IF(BA73=1,AZ74+1,0)</f>
      </c>
      <c r="BB74" s="3" t="e">
        <f>IF(BB73=1,BA74+1,0)</f>
      </c>
      <c r="BC74" s="3" t="e">
        <f>IF(BC73=1,BB74+1,0)</f>
      </c>
      <c r="BD74" s="3" t="e">
        <f>IF(BD73=1,BC74+1,0)</f>
      </c>
      <c r="BE74" s="3" t="e">
        <f>IF(BE73=1,BD74+1,0)</f>
      </c>
      <c r="BF74" s="3" t="e">
        <f>IF(BF73=1,BE74+1,0)</f>
      </c>
      <c r="BG74" s="3" t="e">
        <f>IF(BG73=1,BF74+1,0)</f>
      </c>
      <c r="BH74" s="3" t="e">
        <f>IF(BH73=1,BG74+1,0)</f>
      </c>
      <c r="BI74" s="3" t="e">
        <f>IF(BI73=1,BH74+1,0)</f>
      </c>
      <c r="BJ74" s="3" t="e">
        <f>IF(BJ73=1,BI74+1,0)</f>
      </c>
      <c r="BK74" s="3" t="e">
        <f>IF(BK73=1,BJ74+1,0)</f>
      </c>
      <c r="BL74" s="3" t="e">
        <f>O74</f>
      </c>
      <c r="BM74" s="3" t="e">
        <f>AA74</f>
      </c>
      <c r="BN74" s="3" t="e">
        <f>AM74</f>
      </c>
      <c r="BO74" s="3" t="e">
        <f>AY74</f>
      </c>
      <c r="BP74" s="3" t="e">
        <f>BK74</f>
      </c>
    </row>
    <row r="75">
      <c r="A75" t="str">
        <v>Commercial salarié n°22 — productivité (ramp)</v>
      </c>
      <c r="B75" t="str">
        <v>%</v>
      </c>
      <c r="C75" s="2">
        <v>0</v>
      </c>
      <c r="D75" s="2" t="e">
        <f>IF(D73=1,MIN(1,D74/'Hypothèses'!$D$19),0)</f>
      </c>
      <c r="E75" s="2" t="e">
        <f>IF(E73=1,MIN(1,E74/'Hypothèses'!$D$19),0)</f>
      </c>
      <c r="F75" s="2" t="e">
        <f>IF(F73=1,MIN(1,F74/'Hypothèses'!$D$19),0)</f>
      </c>
      <c r="G75" s="2" t="e">
        <f>IF(G73=1,MIN(1,G74/'Hypothèses'!$D$19),0)</f>
      </c>
      <c r="H75" s="2" t="e">
        <f>IF(H73=1,MIN(1,H74/'Hypothèses'!$D$19),0)</f>
      </c>
      <c r="I75" s="2" t="e">
        <f>IF(I73=1,MIN(1,I74/'Hypothèses'!$D$19),0)</f>
      </c>
      <c r="J75" s="2" t="e">
        <f>IF(J73=1,MIN(1,J74/'Hypothèses'!$D$19),0)</f>
      </c>
      <c r="K75" s="2" t="e">
        <f>IF(K73=1,MIN(1,K74/'Hypothèses'!$D$19),0)</f>
      </c>
      <c r="L75" s="2" t="e">
        <f>IF(L73=1,MIN(1,L74/'Hypothèses'!$D$19),0)</f>
      </c>
      <c r="M75" s="2" t="e">
        <f>IF(M73=1,MIN(1,M74/'Hypothèses'!$D$19),0)</f>
      </c>
      <c r="N75" s="2" t="e">
        <f>IF(N73=1,MIN(1,N74/'Hypothèses'!$D$19),0)</f>
      </c>
      <c r="O75" s="2" t="e">
        <f>IF(O73=1,MIN(1,O74/'Hypothèses'!$D$19),0)</f>
      </c>
      <c r="P75" s="2" t="e">
        <f>IF(P73=1,MIN(1,P74/'Hypothèses'!$D$19),0)</f>
      </c>
      <c r="Q75" s="2" t="e">
        <f>IF(Q73=1,MIN(1,Q74/'Hypothèses'!$D$19),0)</f>
      </c>
      <c r="R75" s="2" t="e">
        <f>IF(R73=1,MIN(1,R74/'Hypothèses'!$D$19),0)</f>
      </c>
      <c r="S75" s="2" t="e">
        <f>IF(S73=1,MIN(1,S74/'Hypothèses'!$D$19),0)</f>
      </c>
      <c r="T75" s="2" t="e">
        <f>IF(T73=1,MIN(1,T74/'Hypothèses'!$D$19),0)</f>
      </c>
      <c r="U75" s="2" t="e">
        <f>IF(U73=1,MIN(1,U74/'Hypothèses'!$D$19),0)</f>
      </c>
      <c r="V75" s="2" t="e">
        <f>IF(V73=1,MIN(1,V74/'Hypothèses'!$D$19),0)</f>
      </c>
      <c r="W75" s="2" t="e">
        <f>IF(W73=1,MIN(1,W74/'Hypothèses'!$D$19),0)</f>
      </c>
      <c r="X75" s="2" t="e">
        <f>IF(X73=1,MIN(1,X74/'Hypothèses'!$D$19),0)</f>
      </c>
      <c r="Y75" s="2" t="e">
        <f>IF(Y73=1,MIN(1,Y74/'Hypothèses'!$D$19),0)</f>
      </c>
      <c r="Z75" s="2" t="e">
        <f>IF(Z73=1,MIN(1,Z74/'Hypothèses'!$D$19),0)</f>
      </c>
      <c r="AA75" s="2" t="e">
        <f>IF(AA73=1,MIN(1,AA74/'Hypothèses'!$D$19),0)</f>
      </c>
      <c r="AB75" s="2" t="e">
        <f>IF(AB73=1,MIN(1,AB74/'Hypothèses'!$D$19),0)</f>
      </c>
      <c r="AC75" s="2" t="e">
        <f>IF(AC73=1,MIN(1,AC74/'Hypothèses'!$D$19),0)</f>
      </c>
      <c r="AD75" s="2" t="e">
        <f>IF(AD73=1,MIN(1,AD74/'Hypothèses'!$D$19),0)</f>
      </c>
      <c r="AE75" s="2" t="e">
        <f>IF(AE73=1,MIN(1,AE74/'Hypothèses'!$D$19),0)</f>
      </c>
      <c r="AF75" s="2" t="e">
        <f>IF(AF73=1,MIN(1,AF74/'Hypothèses'!$D$19),0)</f>
      </c>
      <c r="AG75" s="2" t="e">
        <f>IF(AG73=1,MIN(1,AG74/'Hypothèses'!$D$19),0)</f>
      </c>
      <c r="AH75" s="2" t="e">
        <f>IF(AH73=1,MIN(1,AH74/'Hypothèses'!$D$19),0)</f>
      </c>
      <c r="AI75" s="2" t="e">
        <f>IF(AI73=1,MIN(1,AI74/'Hypothèses'!$D$19),0)</f>
      </c>
      <c r="AJ75" s="2" t="e">
        <f>IF(AJ73=1,MIN(1,AJ74/'Hypothèses'!$D$19),0)</f>
      </c>
      <c r="AK75" s="2" t="e">
        <f>IF(AK73=1,MIN(1,AK74/'Hypothèses'!$D$19),0)</f>
      </c>
      <c r="AL75" s="2" t="e">
        <f>IF(AL73=1,MIN(1,AL74/'Hypothèses'!$D$19),0)</f>
      </c>
      <c r="AM75" s="2" t="e">
        <f>IF(AM73=1,MIN(1,AM74/'Hypothèses'!$D$19),0)</f>
      </c>
      <c r="AN75" s="2" t="e">
        <f>IF(AN73=1,MIN(1,AN74/'Hypothèses'!$D$19),0)</f>
      </c>
      <c r="AO75" s="2" t="e">
        <f>IF(AO73=1,MIN(1,AO74/'Hypothèses'!$D$19),0)</f>
      </c>
      <c r="AP75" s="2" t="e">
        <f>IF(AP73=1,MIN(1,AP74/'Hypothèses'!$D$19),0)</f>
      </c>
      <c r="AQ75" s="2" t="e">
        <f>IF(AQ73=1,MIN(1,AQ74/'Hypothèses'!$D$19),0)</f>
      </c>
      <c r="AR75" s="2" t="e">
        <f>IF(AR73=1,MIN(1,AR74/'Hypothèses'!$D$19),0)</f>
      </c>
      <c r="AS75" s="2" t="e">
        <f>IF(AS73=1,MIN(1,AS74/'Hypothèses'!$D$19),0)</f>
      </c>
      <c r="AT75" s="2" t="e">
        <f>IF(AT73=1,MIN(1,AT74/'Hypothèses'!$D$19),0)</f>
      </c>
      <c r="AU75" s="2" t="e">
        <f>IF(AU73=1,MIN(1,AU74/'Hypothèses'!$D$19),0)</f>
      </c>
      <c r="AV75" s="2" t="e">
        <f>IF(AV73=1,MIN(1,AV74/'Hypothèses'!$D$19),0)</f>
      </c>
      <c r="AW75" s="2" t="e">
        <f>IF(AW73=1,MIN(1,AW74/'Hypothèses'!$D$19),0)</f>
      </c>
      <c r="AX75" s="2" t="e">
        <f>IF(AX73=1,MIN(1,AX74/'Hypothèses'!$D$19),0)</f>
      </c>
      <c r="AY75" s="2" t="e">
        <f>IF(AY73=1,MIN(1,AY74/'Hypothèses'!$D$19),0)</f>
      </c>
      <c r="AZ75" s="2" t="e">
        <f>IF(AZ73=1,MIN(1,AZ74/'Hypothèses'!$D$19),0)</f>
      </c>
      <c r="BA75" s="2" t="e">
        <f>IF(BA73=1,MIN(1,BA74/'Hypothèses'!$D$19),0)</f>
      </c>
      <c r="BB75" s="2" t="e">
        <f>IF(BB73=1,MIN(1,BB74/'Hypothèses'!$D$19),0)</f>
      </c>
      <c r="BC75" s="2" t="e">
        <f>IF(BC73=1,MIN(1,BC74/'Hypothèses'!$D$19),0)</f>
      </c>
      <c r="BD75" s="2" t="e">
        <f>IF(BD73=1,MIN(1,BD74/'Hypothèses'!$D$19),0)</f>
      </c>
      <c r="BE75" s="2" t="e">
        <f>IF(BE73=1,MIN(1,BE74/'Hypothèses'!$D$19),0)</f>
      </c>
      <c r="BF75" s="2" t="e">
        <f>IF(BF73=1,MIN(1,BF74/'Hypothèses'!$D$19),0)</f>
      </c>
      <c r="BG75" s="2" t="e">
        <f>IF(BG73=1,MIN(1,BG74/'Hypothèses'!$D$19),0)</f>
      </c>
      <c r="BH75" s="2" t="e">
        <f>IF(BH73=1,MIN(1,BH74/'Hypothèses'!$D$19),0)</f>
      </c>
      <c r="BI75" s="2" t="e">
        <f>IF(BI73=1,MIN(1,BI74/'Hypothèses'!$D$19),0)</f>
      </c>
      <c r="BJ75" s="2" t="e">
        <f>IF(BJ73=1,MIN(1,BJ74/'Hypothèses'!$D$19),0)</f>
      </c>
      <c r="BK75" s="2" t="e">
        <f>IF(BK73=1,MIN(1,BK74/'Hypothèses'!$D$19),0)</f>
      </c>
      <c r="BL75" s="2" t="e">
        <f>AVERAGE(D75:O75)</f>
      </c>
      <c r="BM75" s="2" t="e">
        <f>AVERAGE(P75:AA75)</f>
      </c>
      <c r="BN75" s="2" t="e">
        <f>AVERAGE(AB75:AM75)</f>
      </c>
      <c r="BO75" s="2" t="e">
        <f>AVERAGE(AN75:AY75)</f>
      </c>
      <c r="BP75" s="2" t="e">
        <f>AVERAGE(AZ75:BK75)</f>
      </c>
    </row>
    <row r="76">
      <c r="A76" t="str">
        <v>Commercial salarié n°23 en poste (1/0)</v>
      </c>
      <c r="B76" t="str">
        <v>0/1</v>
      </c>
      <c r="C76" s="3">
        <v>0</v>
      </c>
      <c r="D76" s="3" t="e">
        <f>IF(1&gt;='Hypothèses'!$D$49,1,0)</f>
      </c>
      <c r="E76" s="3" t="e">
        <f>IF(2&gt;='Hypothèses'!$D$49,1,0)</f>
      </c>
      <c r="F76" s="3" t="e">
        <f>IF(3&gt;='Hypothèses'!$D$49,1,0)</f>
      </c>
      <c r="G76" s="3" t="e">
        <f>IF(4&gt;='Hypothèses'!$D$49,1,0)</f>
      </c>
      <c r="H76" s="3" t="e">
        <f>IF(5&gt;='Hypothèses'!$D$49,1,0)</f>
      </c>
      <c r="I76" s="3" t="e">
        <f>IF(6&gt;='Hypothèses'!$D$49,1,0)</f>
      </c>
      <c r="J76" s="3" t="e">
        <f>IF(7&gt;='Hypothèses'!$D$49,1,0)</f>
      </c>
      <c r="K76" s="3" t="e">
        <f>IF(8&gt;='Hypothèses'!$D$49,1,0)</f>
      </c>
      <c r="L76" s="3" t="e">
        <f>IF(9&gt;='Hypothèses'!$D$49,1,0)</f>
      </c>
      <c r="M76" s="3" t="e">
        <f>IF(10&gt;='Hypothèses'!$D$49,1,0)</f>
      </c>
      <c r="N76" s="3" t="e">
        <f>IF(11&gt;='Hypothèses'!$D$49,1,0)</f>
      </c>
      <c r="O76" s="3" t="e">
        <f>IF(12&gt;='Hypothèses'!$D$49,1,0)</f>
      </c>
      <c r="P76" s="3" t="e">
        <f>IF(13&gt;='Hypothèses'!$D$49,1,0)</f>
      </c>
      <c r="Q76" s="3" t="e">
        <f>IF(14&gt;='Hypothèses'!$D$49,1,0)</f>
      </c>
      <c r="R76" s="3" t="e">
        <f>IF(15&gt;='Hypothèses'!$D$49,1,0)</f>
      </c>
      <c r="S76" s="3" t="e">
        <f>IF(16&gt;='Hypothèses'!$D$49,1,0)</f>
      </c>
      <c r="T76" s="3" t="e">
        <f>IF(17&gt;='Hypothèses'!$D$49,1,0)</f>
      </c>
      <c r="U76" s="3" t="e">
        <f>IF(18&gt;='Hypothèses'!$D$49,1,0)</f>
      </c>
      <c r="V76" s="3" t="e">
        <f>IF(19&gt;='Hypothèses'!$D$49,1,0)</f>
      </c>
      <c r="W76" s="3" t="e">
        <f>IF(20&gt;='Hypothèses'!$D$49,1,0)</f>
      </c>
      <c r="X76" s="3" t="e">
        <f>IF(21&gt;='Hypothèses'!$D$49,1,0)</f>
      </c>
      <c r="Y76" s="3" t="e">
        <f>IF(22&gt;='Hypothèses'!$D$49,1,0)</f>
      </c>
      <c r="Z76" s="3" t="e">
        <f>IF(23&gt;='Hypothèses'!$D$49,1,0)</f>
      </c>
      <c r="AA76" s="3" t="e">
        <f>IF(24&gt;='Hypothèses'!$D$49,1,0)</f>
      </c>
      <c r="AB76" s="3" t="e">
        <f>IF(25&gt;='Hypothèses'!$D$49,1,0)</f>
      </c>
      <c r="AC76" s="3" t="e">
        <f>IF(26&gt;='Hypothèses'!$D$49,1,0)</f>
      </c>
      <c r="AD76" s="3" t="e">
        <f>IF(27&gt;='Hypothèses'!$D$49,1,0)</f>
      </c>
      <c r="AE76" s="3" t="e">
        <f>IF(28&gt;='Hypothèses'!$D$49,1,0)</f>
      </c>
      <c r="AF76" s="3" t="e">
        <f>IF(29&gt;='Hypothèses'!$D$49,1,0)</f>
      </c>
      <c r="AG76" s="3" t="e">
        <f>IF(30&gt;='Hypothèses'!$D$49,1,0)</f>
      </c>
      <c r="AH76" s="3" t="e">
        <f>IF(31&gt;='Hypothèses'!$D$49,1,0)</f>
      </c>
      <c r="AI76" s="3" t="e">
        <f>IF(32&gt;='Hypothèses'!$D$49,1,0)</f>
      </c>
      <c r="AJ76" s="3" t="e">
        <f>IF(33&gt;='Hypothèses'!$D$49,1,0)</f>
      </c>
      <c r="AK76" s="3" t="e">
        <f>IF(34&gt;='Hypothèses'!$D$49,1,0)</f>
      </c>
      <c r="AL76" s="3" t="e">
        <f>IF(35&gt;='Hypothèses'!$D$49,1,0)</f>
      </c>
      <c r="AM76" s="3" t="e">
        <f>IF(36&gt;='Hypothèses'!$D$49,1,0)</f>
      </c>
      <c r="AN76" s="3" t="e">
        <f>IF(37&gt;='Hypothèses'!$D$49,1,0)</f>
      </c>
      <c r="AO76" s="3" t="e">
        <f>IF(38&gt;='Hypothèses'!$D$49,1,0)</f>
      </c>
      <c r="AP76" s="3" t="e">
        <f>IF(39&gt;='Hypothèses'!$D$49,1,0)</f>
      </c>
      <c r="AQ76" s="3" t="e">
        <f>IF(40&gt;='Hypothèses'!$D$49,1,0)</f>
      </c>
      <c r="AR76" s="3" t="e">
        <f>IF(41&gt;='Hypothèses'!$D$49,1,0)</f>
      </c>
      <c r="AS76" s="3" t="e">
        <f>IF(42&gt;='Hypothèses'!$D$49,1,0)</f>
      </c>
      <c r="AT76" s="3" t="e">
        <f>IF(43&gt;='Hypothèses'!$D$49,1,0)</f>
      </c>
      <c r="AU76" s="3" t="e">
        <f>IF(44&gt;='Hypothèses'!$D$49,1,0)</f>
      </c>
      <c r="AV76" s="3" t="e">
        <f>IF(45&gt;='Hypothèses'!$D$49,1,0)</f>
      </c>
      <c r="AW76" s="3" t="e">
        <f>IF(46&gt;='Hypothèses'!$D$49,1,0)</f>
      </c>
      <c r="AX76" s="3" t="e">
        <f>IF(47&gt;='Hypothèses'!$D$49,1,0)</f>
      </c>
      <c r="AY76" s="3" t="e">
        <f>IF(48&gt;='Hypothèses'!$D$49,1,0)</f>
      </c>
      <c r="AZ76" s="3" t="e">
        <f>IF(49&gt;='Hypothèses'!$D$49,1,0)</f>
      </c>
      <c r="BA76" s="3" t="e">
        <f>IF(50&gt;='Hypothèses'!$D$49,1,0)</f>
      </c>
      <c r="BB76" s="3" t="e">
        <f>IF(51&gt;='Hypothèses'!$D$49,1,0)</f>
      </c>
      <c r="BC76" s="3" t="e">
        <f>IF(52&gt;='Hypothèses'!$D$49,1,0)</f>
      </c>
      <c r="BD76" s="3" t="e">
        <f>IF(53&gt;='Hypothèses'!$D$49,1,0)</f>
      </c>
      <c r="BE76" s="3" t="e">
        <f>IF(54&gt;='Hypothèses'!$D$49,1,0)</f>
      </c>
      <c r="BF76" s="3" t="e">
        <f>IF(55&gt;='Hypothèses'!$D$49,1,0)</f>
      </c>
      <c r="BG76" s="3" t="e">
        <f>IF(56&gt;='Hypothèses'!$D$49,1,0)</f>
      </c>
      <c r="BH76" s="3" t="e">
        <f>IF(57&gt;='Hypothèses'!$D$49,1,0)</f>
      </c>
      <c r="BI76" s="3" t="e">
        <f>IF(58&gt;='Hypothèses'!$D$49,1,0)</f>
      </c>
      <c r="BJ76" s="3" t="e">
        <f>IF(59&gt;='Hypothèses'!$D$49,1,0)</f>
      </c>
      <c r="BK76" s="3" t="e">
        <f>IF(60&gt;='Hypothèses'!$D$49,1,0)</f>
      </c>
      <c r="BL76" s="3" t="e">
        <f>O76</f>
      </c>
      <c r="BM76" s="3" t="e">
        <f>AA76</f>
      </c>
      <c r="BN76" s="3" t="e">
        <f>AM76</f>
      </c>
      <c r="BO76" s="3" t="e">
        <f>AY76</f>
      </c>
      <c r="BP76" s="3" t="e">
        <f>BK76</f>
      </c>
    </row>
    <row r="77">
      <c r="A77" t="str">
        <v>Commercial salarié n°23 — ancienneté</v>
      </c>
      <c r="B77" t="str">
        <v>mois</v>
      </c>
      <c r="C77" s="3">
        <v>0</v>
      </c>
      <c r="D77" s="3" t="e">
        <f>IF(D76=1,C77+1,0)</f>
      </c>
      <c r="E77" s="3" t="e">
        <f>IF(E76=1,D77+1,0)</f>
      </c>
      <c r="F77" s="3" t="e">
        <f>IF(F76=1,E77+1,0)</f>
      </c>
      <c r="G77" s="3" t="e">
        <f>IF(G76=1,F77+1,0)</f>
      </c>
      <c r="H77" s="3" t="e">
        <f>IF(H76=1,G77+1,0)</f>
      </c>
      <c r="I77" s="3" t="e">
        <f>IF(I76=1,H77+1,0)</f>
      </c>
      <c r="J77" s="3" t="e">
        <f>IF(J76=1,I77+1,0)</f>
      </c>
      <c r="K77" s="3" t="e">
        <f>IF(K76=1,J77+1,0)</f>
      </c>
      <c r="L77" s="3" t="e">
        <f>IF(L76=1,K77+1,0)</f>
      </c>
      <c r="M77" s="3" t="e">
        <f>IF(M76=1,L77+1,0)</f>
      </c>
      <c r="N77" s="3" t="e">
        <f>IF(N76=1,M77+1,0)</f>
      </c>
      <c r="O77" s="3" t="e">
        <f>IF(O76=1,N77+1,0)</f>
      </c>
      <c r="P77" s="3" t="e">
        <f>IF(P76=1,O77+1,0)</f>
      </c>
      <c r="Q77" s="3" t="e">
        <f>IF(Q76=1,P77+1,0)</f>
      </c>
      <c r="R77" s="3" t="e">
        <f>IF(R76=1,Q77+1,0)</f>
      </c>
      <c r="S77" s="3" t="e">
        <f>IF(S76=1,R77+1,0)</f>
      </c>
      <c r="T77" s="3" t="e">
        <f>IF(T76=1,S77+1,0)</f>
      </c>
      <c r="U77" s="3" t="e">
        <f>IF(U76=1,T77+1,0)</f>
      </c>
      <c r="V77" s="3" t="e">
        <f>IF(V76=1,U77+1,0)</f>
      </c>
      <c r="W77" s="3" t="e">
        <f>IF(W76=1,V77+1,0)</f>
      </c>
      <c r="X77" s="3" t="e">
        <f>IF(X76=1,W77+1,0)</f>
      </c>
      <c r="Y77" s="3" t="e">
        <f>IF(Y76=1,X77+1,0)</f>
      </c>
      <c r="Z77" s="3" t="e">
        <f>IF(Z76=1,Y77+1,0)</f>
      </c>
      <c r="AA77" s="3" t="e">
        <f>IF(AA76=1,Z77+1,0)</f>
      </c>
      <c r="AB77" s="3" t="e">
        <f>IF(AB76=1,AA77+1,0)</f>
      </c>
      <c r="AC77" s="3" t="e">
        <f>IF(AC76=1,AB77+1,0)</f>
      </c>
      <c r="AD77" s="3" t="e">
        <f>IF(AD76=1,AC77+1,0)</f>
      </c>
      <c r="AE77" s="3" t="e">
        <f>IF(AE76=1,AD77+1,0)</f>
      </c>
      <c r="AF77" s="3" t="e">
        <f>IF(AF76=1,AE77+1,0)</f>
      </c>
      <c r="AG77" s="3" t="e">
        <f>IF(AG76=1,AF77+1,0)</f>
      </c>
      <c r="AH77" s="3" t="e">
        <f>IF(AH76=1,AG77+1,0)</f>
      </c>
      <c r="AI77" s="3" t="e">
        <f>IF(AI76=1,AH77+1,0)</f>
      </c>
      <c r="AJ77" s="3" t="e">
        <f>IF(AJ76=1,AI77+1,0)</f>
      </c>
      <c r="AK77" s="3" t="e">
        <f>IF(AK76=1,AJ77+1,0)</f>
      </c>
      <c r="AL77" s="3" t="e">
        <f>IF(AL76=1,AK77+1,0)</f>
      </c>
      <c r="AM77" s="3" t="e">
        <f>IF(AM76=1,AL77+1,0)</f>
      </c>
      <c r="AN77" s="3" t="e">
        <f>IF(AN76=1,AM77+1,0)</f>
      </c>
      <c r="AO77" s="3" t="e">
        <f>IF(AO76=1,AN77+1,0)</f>
      </c>
      <c r="AP77" s="3" t="e">
        <f>IF(AP76=1,AO77+1,0)</f>
      </c>
      <c r="AQ77" s="3" t="e">
        <f>IF(AQ76=1,AP77+1,0)</f>
      </c>
      <c r="AR77" s="3" t="e">
        <f>IF(AR76=1,AQ77+1,0)</f>
      </c>
      <c r="AS77" s="3" t="e">
        <f>IF(AS76=1,AR77+1,0)</f>
      </c>
      <c r="AT77" s="3" t="e">
        <f>IF(AT76=1,AS77+1,0)</f>
      </c>
      <c r="AU77" s="3" t="e">
        <f>IF(AU76=1,AT77+1,0)</f>
      </c>
      <c r="AV77" s="3" t="e">
        <f>IF(AV76=1,AU77+1,0)</f>
      </c>
      <c r="AW77" s="3" t="e">
        <f>IF(AW76=1,AV77+1,0)</f>
      </c>
      <c r="AX77" s="3" t="e">
        <f>IF(AX76=1,AW77+1,0)</f>
      </c>
      <c r="AY77" s="3" t="e">
        <f>IF(AY76=1,AX77+1,0)</f>
      </c>
      <c r="AZ77" s="3" t="e">
        <f>IF(AZ76=1,AY77+1,0)</f>
      </c>
      <c r="BA77" s="3" t="e">
        <f>IF(BA76=1,AZ77+1,0)</f>
      </c>
      <c r="BB77" s="3" t="e">
        <f>IF(BB76=1,BA77+1,0)</f>
      </c>
      <c r="BC77" s="3" t="e">
        <f>IF(BC76=1,BB77+1,0)</f>
      </c>
      <c r="BD77" s="3" t="e">
        <f>IF(BD76=1,BC77+1,0)</f>
      </c>
      <c r="BE77" s="3" t="e">
        <f>IF(BE76=1,BD77+1,0)</f>
      </c>
      <c r="BF77" s="3" t="e">
        <f>IF(BF76=1,BE77+1,0)</f>
      </c>
      <c r="BG77" s="3" t="e">
        <f>IF(BG76=1,BF77+1,0)</f>
      </c>
      <c r="BH77" s="3" t="e">
        <f>IF(BH76=1,BG77+1,0)</f>
      </c>
      <c r="BI77" s="3" t="e">
        <f>IF(BI76=1,BH77+1,0)</f>
      </c>
      <c r="BJ77" s="3" t="e">
        <f>IF(BJ76=1,BI77+1,0)</f>
      </c>
      <c r="BK77" s="3" t="e">
        <f>IF(BK76=1,BJ77+1,0)</f>
      </c>
      <c r="BL77" s="3" t="e">
        <f>O77</f>
      </c>
      <c r="BM77" s="3" t="e">
        <f>AA77</f>
      </c>
      <c r="BN77" s="3" t="e">
        <f>AM77</f>
      </c>
      <c r="BO77" s="3" t="e">
        <f>AY77</f>
      </c>
      <c r="BP77" s="3" t="e">
        <f>BK77</f>
      </c>
    </row>
    <row r="78">
      <c r="A78" t="str">
        <v>Commercial salarié n°23 — productivité (ramp)</v>
      </c>
      <c r="B78" t="str">
        <v>%</v>
      </c>
      <c r="C78" s="2">
        <v>0</v>
      </c>
      <c r="D78" s="2" t="e">
        <f>IF(D76=1,MIN(1,D77/'Hypothèses'!$D$19),0)</f>
      </c>
      <c r="E78" s="2" t="e">
        <f>IF(E76=1,MIN(1,E77/'Hypothèses'!$D$19),0)</f>
      </c>
      <c r="F78" s="2" t="e">
        <f>IF(F76=1,MIN(1,F77/'Hypothèses'!$D$19),0)</f>
      </c>
      <c r="G78" s="2" t="e">
        <f>IF(G76=1,MIN(1,G77/'Hypothèses'!$D$19),0)</f>
      </c>
      <c r="H78" s="2" t="e">
        <f>IF(H76=1,MIN(1,H77/'Hypothèses'!$D$19),0)</f>
      </c>
      <c r="I78" s="2" t="e">
        <f>IF(I76=1,MIN(1,I77/'Hypothèses'!$D$19),0)</f>
      </c>
      <c r="J78" s="2" t="e">
        <f>IF(J76=1,MIN(1,J77/'Hypothèses'!$D$19),0)</f>
      </c>
      <c r="K78" s="2" t="e">
        <f>IF(K76=1,MIN(1,K77/'Hypothèses'!$D$19),0)</f>
      </c>
      <c r="L78" s="2" t="e">
        <f>IF(L76=1,MIN(1,L77/'Hypothèses'!$D$19),0)</f>
      </c>
      <c r="M78" s="2" t="e">
        <f>IF(M76=1,MIN(1,M77/'Hypothèses'!$D$19),0)</f>
      </c>
      <c r="N78" s="2" t="e">
        <f>IF(N76=1,MIN(1,N77/'Hypothèses'!$D$19),0)</f>
      </c>
      <c r="O78" s="2" t="e">
        <f>IF(O76=1,MIN(1,O77/'Hypothèses'!$D$19),0)</f>
      </c>
      <c r="P78" s="2" t="e">
        <f>IF(P76=1,MIN(1,P77/'Hypothèses'!$D$19),0)</f>
      </c>
      <c r="Q78" s="2" t="e">
        <f>IF(Q76=1,MIN(1,Q77/'Hypothèses'!$D$19),0)</f>
      </c>
      <c r="R78" s="2" t="e">
        <f>IF(R76=1,MIN(1,R77/'Hypothèses'!$D$19),0)</f>
      </c>
      <c r="S78" s="2" t="e">
        <f>IF(S76=1,MIN(1,S77/'Hypothèses'!$D$19),0)</f>
      </c>
      <c r="T78" s="2" t="e">
        <f>IF(T76=1,MIN(1,T77/'Hypothèses'!$D$19),0)</f>
      </c>
      <c r="U78" s="2" t="e">
        <f>IF(U76=1,MIN(1,U77/'Hypothèses'!$D$19),0)</f>
      </c>
      <c r="V78" s="2" t="e">
        <f>IF(V76=1,MIN(1,V77/'Hypothèses'!$D$19),0)</f>
      </c>
      <c r="W78" s="2" t="e">
        <f>IF(W76=1,MIN(1,W77/'Hypothèses'!$D$19),0)</f>
      </c>
      <c r="X78" s="2" t="e">
        <f>IF(X76=1,MIN(1,X77/'Hypothèses'!$D$19),0)</f>
      </c>
      <c r="Y78" s="2" t="e">
        <f>IF(Y76=1,MIN(1,Y77/'Hypothèses'!$D$19),0)</f>
      </c>
      <c r="Z78" s="2" t="e">
        <f>IF(Z76=1,MIN(1,Z77/'Hypothèses'!$D$19),0)</f>
      </c>
      <c r="AA78" s="2" t="e">
        <f>IF(AA76=1,MIN(1,AA77/'Hypothèses'!$D$19),0)</f>
      </c>
      <c r="AB78" s="2" t="e">
        <f>IF(AB76=1,MIN(1,AB77/'Hypothèses'!$D$19),0)</f>
      </c>
      <c r="AC78" s="2" t="e">
        <f>IF(AC76=1,MIN(1,AC77/'Hypothèses'!$D$19),0)</f>
      </c>
      <c r="AD78" s="2" t="e">
        <f>IF(AD76=1,MIN(1,AD77/'Hypothèses'!$D$19),0)</f>
      </c>
      <c r="AE78" s="2" t="e">
        <f>IF(AE76=1,MIN(1,AE77/'Hypothèses'!$D$19),0)</f>
      </c>
      <c r="AF78" s="2" t="e">
        <f>IF(AF76=1,MIN(1,AF77/'Hypothèses'!$D$19),0)</f>
      </c>
      <c r="AG78" s="2" t="e">
        <f>IF(AG76=1,MIN(1,AG77/'Hypothèses'!$D$19),0)</f>
      </c>
      <c r="AH78" s="2" t="e">
        <f>IF(AH76=1,MIN(1,AH77/'Hypothèses'!$D$19),0)</f>
      </c>
      <c r="AI78" s="2" t="e">
        <f>IF(AI76=1,MIN(1,AI77/'Hypothèses'!$D$19),0)</f>
      </c>
      <c r="AJ78" s="2" t="e">
        <f>IF(AJ76=1,MIN(1,AJ77/'Hypothèses'!$D$19),0)</f>
      </c>
      <c r="AK78" s="2" t="e">
        <f>IF(AK76=1,MIN(1,AK77/'Hypothèses'!$D$19),0)</f>
      </c>
      <c r="AL78" s="2" t="e">
        <f>IF(AL76=1,MIN(1,AL77/'Hypothèses'!$D$19),0)</f>
      </c>
      <c r="AM78" s="2" t="e">
        <f>IF(AM76=1,MIN(1,AM77/'Hypothèses'!$D$19),0)</f>
      </c>
      <c r="AN78" s="2" t="e">
        <f>IF(AN76=1,MIN(1,AN77/'Hypothèses'!$D$19),0)</f>
      </c>
      <c r="AO78" s="2" t="e">
        <f>IF(AO76=1,MIN(1,AO77/'Hypothèses'!$D$19),0)</f>
      </c>
      <c r="AP78" s="2" t="e">
        <f>IF(AP76=1,MIN(1,AP77/'Hypothèses'!$D$19),0)</f>
      </c>
      <c r="AQ78" s="2" t="e">
        <f>IF(AQ76=1,MIN(1,AQ77/'Hypothèses'!$D$19),0)</f>
      </c>
      <c r="AR78" s="2" t="e">
        <f>IF(AR76=1,MIN(1,AR77/'Hypothèses'!$D$19),0)</f>
      </c>
      <c r="AS78" s="2" t="e">
        <f>IF(AS76=1,MIN(1,AS77/'Hypothèses'!$D$19),0)</f>
      </c>
      <c r="AT78" s="2" t="e">
        <f>IF(AT76=1,MIN(1,AT77/'Hypothèses'!$D$19),0)</f>
      </c>
      <c r="AU78" s="2" t="e">
        <f>IF(AU76=1,MIN(1,AU77/'Hypothèses'!$D$19),0)</f>
      </c>
      <c r="AV78" s="2" t="e">
        <f>IF(AV76=1,MIN(1,AV77/'Hypothèses'!$D$19),0)</f>
      </c>
      <c r="AW78" s="2" t="e">
        <f>IF(AW76=1,MIN(1,AW77/'Hypothèses'!$D$19),0)</f>
      </c>
      <c r="AX78" s="2" t="e">
        <f>IF(AX76=1,MIN(1,AX77/'Hypothèses'!$D$19),0)</f>
      </c>
      <c r="AY78" s="2" t="e">
        <f>IF(AY76=1,MIN(1,AY77/'Hypothèses'!$D$19),0)</f>
      </c>
      <c r="AZ78" s="2" t="e">
        <f>IF(AZ76=1,MIN(1,AZ77/'Hypothèses'!$D$19),0)</f>
      </c>
      <c r="BA78" s="2" t="e">
        <f>IF(BA76=1,MIN(1,BA77/'Hypothèses'!$D$19),0)</f>
      </c>
      <c r="BB78" s="2" t="e">
        <f>IF(BB76=1,MIN(1,BB77/'Hypothèses'!$D$19),0)</f>
      </c>
      <c r="BC78" s="2" t="e">
        <f>IF(BC76=1,MIN(1,BC77/'Hypothèses'!$D$19),0)</f>
      </c>
      <c r="BD78" s="2" t="e">
        <f>IF(BD76=1,MIN(1,BD77/'Hypothèses'!$D$19),0)</f>
      </c>
      <c r="BE78" s="2" t="e">
        <f>IF(BE76=1,MIN(1,BE77/'Hypothèses'!$D$19),0)</f>
      </c>
      <c r="BF78" s="2" t="e">
        <f>IF(BF76=1,MIN(1,BF77/'Hypothèses'!$D$19),0)</f>
      </c>
      <c r="BG78" s="2" t="e">
        <f>IF(BG76=1,MIN(1,BG77/'Hypothèses'!$D$19),0)</f>
      </c>
      <c r="BH78" s="2" t="e">
        <f>IF(BH76=1,MIN(1,BH77/'Hypothèses'!$D$19),0)</f>
      </c>
      <c r="BI78" s="2" t="e">
        <f>IF(BI76=1,MIN(1,BI77/'Hypothèses'!$D$19),0)</f>
      </c>
      <c r="BJ78" s="2" t="e">
        <f>IF(BJ76=1,MIN(1,BJ77/'Hypothèses'!$D$19),0)</f>
      </c>
      <c r="BK78" s="2" t="e">
        <f>IF(BK76=1,MIN(1,BK77/'Hypothèses'!$D$19),0)</f>
      </c>
      <c r="BL78" s="2" t="e">
        <f>AVERAGE(D78:O78)</f>
      </c>
      <c r="BM78" s="2" t="e">
        <f>AVERAGE(P78:AA78)</f>
      </c>
      <c r="BN78" s="2" t="e">
        <f>AVERAGE(AB78:AM78)</f>
      </c>
      <c r="BO78" s="2" t="e">
        <f>AVERAGE(AN78:AY78)</f>
      </c>
      <c r="BP78" s="2" t="e">
        <f>AVERAGE(AZ78:BK78)</f>
      </c>
    </row>
    <row r="79">
      <c r="A79" t="str">
        <v>Commercial salarié n°24 en poste (1/0)</v>
      </c>
      <c r="B79" t="str">
        <v>0/1</v>
      </c>
      <c r="C79" s="3">
        <v>0</v>
      </c>
      <c r="D79" s="3" t="e">
        <f>IF(1&gt;='Hypothèses'!$D$50,1,0)</f>
      </c>
      <c r="E79" s="3" t="e">
        <f>IF(2&gt;='Hypothèses'!$D$50,1,0)</f>
      </c>
      <c r="F79" s="3" t="e">
        <f>IF(3&gt;='Hypothèses'!$D$50,1,0)</f>
      </c>
      <c r="G79" s="3" t="e">
        <f>IF(4&gt;='Hypothèses'!$D$50,1,0)</f>
      </c>
      <c r="H79" s="3" t="e">
        <f>IF(5&gt;='Hypothèses'!$D$50,1,0)</f>
      </c>
      <c r="I79" s="3" t="e">
        <f>IF(6&gt;='Hypothèses'!$D$50,1,0)</f>
      </c>
      <c r="J79" s="3" t="e">
        <f>IF(7&gt;='Hypothèses'!$D$50,1,0)</f>
      </c>
      <c r="K79" s="3" t="e">
        <f>IF(8&gt;='Hypothèses'!$D$50,1,0)</f>
      </c>
      <c r="L79" s="3" t="e">
        <f>IF(9&gt;='Hypothèses'!$D$50,1,0)</f>
      </c>
      <c r="M79" s="3" t="e">
        <f>IF(10&gt;='Hypothèses'!$D$50,1,0)</f>
      </c>
      <c r="N79" s="3" t="e">
        <f>IF(11&gt;='Hypothèses'!$D$50,1,0)</f>
      </c>
      <c r="O79" s="3" t="e">
        <f>IF(12&gt;='Hypothèses'!$D$50,1,0)</f>
      </c>
      <c r="P79" s="3" t="e">
        <f>IF(13&gt;='Hypothèses'!$D$50,1,0)</f>
      </c>
      <c r="Q79" s="3" t="e">
        <f>IF(14&gt;='Hypothèses'!$D$50,1,0)</f>
      </c>
      <c r="R79" s="3" t="e">
        <f>IF(15&gt;='Hypothèses'!$D$50,1,0)</f>
      </c>
      <c r="S79" s="3" t="e">
        <f>IF(16&gt;='Hypothèses'!$D$50,1,0)</f>
      </c>
      <c r="T79" s="3" t="e">
        <f>IF(17&gt;='Hypothèses'!$D$50,1,0)</f>
      </c>
      <c r="U79" s="3" t="e">
        <f>IF(18&gt;='Hypothèses'!$D$50,1,0)</f>
      </c>
      <c r="V79" s="3" t="e">
        <f>IF(19&gt;='Hypothèses'!$D$50,1,0)</f>
      </c>
      <c r="W79" s="3" t="e">
        <f>IF(20&gt;='Hypothèses'!$D$50,1,0)</f>
      </c>
      <c r="X79" s="3" t="e">
        <f>IF(21&gt;='Hypothèses'!$D$50,1,0)</f>
      </c>
      <c r="Y79" s="3" t="e">
        <f>IF(22&gt;='Hypothèses'!$D$50,1,0)</f>
      </c>
      <c r="Z79" s="3" t="e">
        <f>IF(23&gt;='Hypothèses'!$D$50,1,0)</f>
      </c>
      <c r="AA79" s="3" t="e">
        <f>IF(24&gt;='Hypothèses'!$D$50,1,0)</f>
      </c>
      <c r="AB79" s="3" t="e">
        <f>IF(25&gt;='Hypothèses'!$D$50,1,0)</f>
      </c>
      <c r="AC79" s="3" t="e">
        <f>IF(26&gt;='Hypothèses'!$D$50,1,0)</f>
      </c>
      <c r="AD79" s="3" t="e">
        <f>IF(27&gt;='Hypothèses'!$D$50,1,0)</f>
      </c>
      <c r="AE79" s="3" t="e">
        <f>IF(28&gt;='Hypothèses'!$D$50,1,0)</f>
      </c>
      <c r="AF79" s="3" t="e">
        <f>IF(29&gt;='Hypothèses'!$D$50,1,0)</f>
      </c>
      <c r="AG79" s="3" t="e">
        <f>IF(30&gt;='Hypothèses'!$D$50,1,0)</f>
      </c>
      <c r="AH79" s="3" t="e">
        <f>IF(31&gt;='Hypothèses'!$D$50,1,0)</f>
      </c>
      <c r="AI79" s="3" t="e">
        <f>IF(32&gt;='Hypothèses'!$D$50,1,0)</f>
      </c>
      <c r="AJ79" s="3" t="e">
        <f>IF(33&gt;='Hypothèses'!$D$50,1,0)</f>
      </c>
      <c r="AK79" s="3" t="e">
        <f>IF(34&gt;='Hypothèses'!$D$50,1,0)</f>
      </c>
      <c r="AL79" s="3" t="e">
        <f>IF(35&gt;='Hypothèses'!$D$50,1,0)</f>
      </c>
      <c r="AM79" s="3" t="e">
        <f>IF(36&gt;='Hypothèses'!$D$50,1,0)</f>
      </c>
      <c r="AN79" s="3" t="e">
        <f>IF(37&gt;='Hypothèses'!$D$50,1,0)</f>
      </c>
      <c r="AO79" s="3" t="e">
        <f>IF(38&gt;='Hypothèses'!$D$50,1,0)</f>
      </c>
      <c r="AP79" s="3" t="e">
        <f>IF(39&gt;='Hypothèses'!$D$50,1,0)</f>
      </c>
      <c r="AQ79" s="3" t="e">
        <f>IF(40&gt;='Hypothèses'!$D$50,1,0)</f>
      </c>
      <c r="AR79" s="3" t="e">
        <f>IF(41&gt;='Hypothèses'!$D$50,1,0)</f>
      </c>
      <c r="AS79" s="3" t="e">
        <f>IF(42&gt;='Hypothèses'!$D$50,1,0)</f>
      </c>
      <c r="AT79" s="3" t="e">
        <f>IF(43&gt;='Hypothèses'!$D$50,1,0)</f>
      </c>
      <c r="AU79" s="3" t="e">
        <f>IF(44&gt;='Hypothèses'!$D$50,1,0)</f>
      </c>
      <c r="AV79" s="3" t="e">
        <f>IF(45&gt;='Hypothèses'!$D$50,1,0)</f>
      </c>
      <c r="AW79" s="3" t="e">
        <f>IF(46&gt;='Hypothèses'!$D$50,1,0)</f>
      </c>
      <c r="AX79" s="3" t="e">
        <f>IF(47&gt;='Hypothèses'!$D$50,1,0)</f>
      </c>
      <c r="AY79" s="3" t="e">
        <f>IF(48&gt;='Hypothèses'!$D$50,1,0)</f>
      </c>
      <c r="AZ79" s="3" t="e">
        <f>IF(49&gt;='Hypothèses'!$D$50,1,0)</f>
      </c>
      <c r="BA79" s="3" t="e">
        <f>IF(50&gt;='Hypothèses'!$D$50,1,0)</f>
      </c>
      <c r="BB79" s="3" t="e">
        <f>IF(51&gt;='Hypothèses'!$D$50,1,0)</f>
      </c>
      <c r="BC79" s="3" t="e">
        <f>IF(52&gt;='Hypothèses'!$D$50,1,0)</f>
      </c>
      <c r="BD79" s="3" t="e">
        <f>IF(53&gt;='Hypothèses'!$D$50,1,0)</f>
      </c>
      <c r="BE79" s="3" t="e">
        <f>IF(54&gt;='Hypothèses'!$D$50,1,0)</f>
      </c>
      <c r="BF79" s="3" t="e">
        <f>IF(55&gt;='Hypothèses'!$D$50,1,0)</f>
      </c>
      <c r="BG79" s="3" t="e">
        <f>IF(56&gt;='Hypothèses'!$D$50,1,0)</f>
      </c>
      <c r="BH79" s="3" t="e">
        <f>IF(57&gt;='Hypothèses'!$D$50,1,0)</f>
      </c>
      <c r="BI79" s="3" t="e">
        <f>IF(58&gt;='Hypothèses'!$D$50,1,0)</f>
      </c>
      <c r="BJ79" s="3" t="e">
        <f>IF(59&gt;='Hypothèses'!$D$50,1,0)</f>
      </c>
      <c r="BK79" s="3" t="e">
        <f>IF(60&gt;='Hypothèses'!$D$50,1,0)</f>
      </c>
      <c r="BL79" s="3" t="e">
        <f>O79</f>
      </c>
      <c r="BM79" s="3" t="e">
        <f>AA79</f>
      </c>
      <c r="BN79" s="3" t="e">
        <f>AM79</f>
      </c>
      <c r="BO79" s="3" t="e">
        <f>AY79</f>
      </c>
      <c r="BP79" s="3" t="e">
        <f>BK79</f>
      </c>
    </row>
    <row r="80">
      <c r="A80" t="str">
        <v>Commercial salarié n°24 — ancienneté</v>
      </c>
      <c r="B80" t="str">
        <v>mois</v>
      </c>
      <c r="C80" s="3">
        <v>0</v>
      </c>
      <c r="D80" s="3" t="e">
        <f>IF(D79=1,C80+1,0)</f>
      </c>
      <c r="E80" s="3" t="e">
        <f>IF(E79=1,D80+1,0)</f>
      </c>
      <c r="F80" s="3" t="e">
        <f>IF(F79=1,E80+1,0)</f>
      </c>
      <c r="G80" s="3" t="e">
        <f>IF(G79=1,F80+1,0)</f>
      </c>
      <c r="H80" s="3" t="e">
        <f>IF(H79=1,G80+1,0)</f>
      </c>
      <c r="I80" s="3" t="e">
        <f>IF(I79=1,H80+1,0)</f>
      </c>
      <c r="J80" s="3" t="e">
        <f>IF(J79=1,I80+1,0)</f>
      </c>
      <c r="K80" s="3" t="e">
        <f>IF(K79=1,J80+1,0)</f>
      </c>
      <c r="L80" s="3" t="e">
        <f>IF(L79=1,K80+1,0)</f>
      </c>
      <c r="M80" s="3" t="e">
        <f>IF(M79=1,L80+1,0)</f>
      </c>
      <c r="N80" s="3" t="e">
        <f>IF(N79=1,M80+1,0)</f>
      </c>
      <c r="O80" s="3" t="e">
        <f>IF(O79=1,N80+1,0)</f>
      </c>
      <c r="P80" s="3" t="e">
        <f>IF(P79=1,O80+1,0)</f>
      </c>
      <c r="Q80" s="3" t="e">
        <f>IF(Q79=1,P80+1,0)</f>
      </c>
      <c r="R80" s="3" t="e">
        <f>IF(R79=1,Q80+1,0)</f>
      </c>
      <c r="S80" s="3" t="e">
        <f>IF(S79=1,R80+1,0)</f>
      </c>
      <c r="T80" s="3" t="e">
        <f>IF(T79=1,S80+1,0)</f>
      </c>
      <c r="U80" s="3" t="e">
        <f>IF(U79=1,T80+1,0)</f>
      </c>
      <c r="V80" s="3" t="e">
        <f>IF(V79=1,U80+1,0)</f>
      </c>
      <c r="W80" s="3" t="e">
        <f>IF(W79=1,V80+1,0)</f>
      </c>
      <c r="X80" s="3" t="e">
        <f>IF(X79=1,W80+1,0)</f>
      </c>
      <c r="Y80" s="3" t="e">
        <f>IF(Y79=1,X80+1,0)</f>
      </c>
      <c r="Z80" s="3" t="e">
        <f>IF(Z79=1,Y80+1,0)</f>
      </c>
      <c r="AA80" s="3" t="e">
        <f>IF(AA79=1,Z80+1,0)</f>
      </c>
      <c r="AB80" s="3" t="e">
        <f>IF(AB79=1,AA80+1,0)</f>
      </c>
      <c r="AC80" s="3" t="e">
        <f>IF(AC79=1,AB80+1,0)</f>
      </c>
      <c r="AD80" s="3" t="e">
        <f>IF(AD79=1,AC80+1,0)</f>
      </c>
      <c r="AE80" s="3" t="e">
        <f>IF(AE79=1,AD80+1,0)</f>
      </c>
      <c r="AF80" s="3" t="e">
        <f>IF(AF79=1,AE80+1,0)</f>
      </c>
      <c r="AG80" s="3" t="e">
        <f>IF(AG79=1,AF80+1,0)</f>
      </c>
      <c r="AH80" s="3" t="e">
        <f>IF(AH79=1,AG80+1,0)</f>
      </c>
      <c r="AI80" s="3" t="e">
        <f>IF(AI79=1,AH80+1,0)</f>
      </c>
      <c r="AJ80" s="3" t="e">
        <f>IF(AJ79=1,AI80+1,0)</f>
      </c>
      <c r="AK80" s="3" t="e">
        <f>IF(AK79=1,AJ80+1,0)</f>
      </c>
      <c r="AL80" s="3" t="e">
        <f>IF(AL79=1,AK80+1,0)</f>
      </c>
      <c r="AM80" s="3" t="e">
        <f>IF(AM79=1,AL80+1,0)</f>
      </c>
      <c r="AN80" s="3" t="e">
        <f>IF(AN79=1,AM80+1,0)</f>
      </c>
      <c r="AO80" s="3" t="e">
        <f>IF(AO79=1,AN80+1,0)</f>
      </c>
      <c r="AP80" s="3" t="e">
        <f>IF(AP79=1,AO80+1,0)</f>
      </c>
      <c r="AQ80" s="3" t="e">
        <f>IF(AQ79=1,AP80+1,0)</f>
      </c>
      <c r="AR80" s="3" t="e">
        <f>IF(AR79=1,AQ80+1,0)</f>
      </c>
      <c r="AS80" s="3" t="e">
        <f>IF(AS79=1,AR80+1,0)</f>
      </c>
      <c r="AT80" s="3" t="e">
        <f>IF(AT79=1,AS80+1,0)</f>
      </c>
      <c r="AU80" s="3" t="e">
        <f>IF(AU79=1,AT80+1,0)</f>
      </c>
      <c r="AV80" s="3" t="e">
        <f>IF(AV79=1,AU80+1,0)</f>
      </c>
      <c r="AW80" s="3" t="e">
        <f>IF(AW79=1,AV80+1,0)</f>
      </c>
      <c r="AX80" s="3" t="e">
        <f>IF(AX79=1,AW80+1,0)</f>
      </c>
      <c r="AY80" s="3" t="e">
        <f>IF(AY79=1,AX80+1,0)</f>
      </c>
      <c r="AZ80" s="3" t="e">
        <f>IF(AZ79=1,AY80+1,0)</f>
      </c>
      <c r="BA80" s="3" t="e">
        <f>IF(BA79=1,AZ80+1,0)</f>
      </c>
      <c r="BB80" s="3" t="e">
        <f>IF(BB79=1,BA80+1,0)</f>
      </c>
      <c r="BC80" s="3" t="e">
        <f>IF(BC79=1,BB80+1,0)</f>
      </c>
      <c r="BD80" s="3" t="e">
        <f>IF(BD79=1,BC80+1,0)</f>
      </c>
      <c r="BE80" s="3" t="e">
        <f>IF(BE79=1,BD80+1,0)</f>
      </c>
      <c r="BF80" s="3" t="e">
        <f>IF(BF79=1,BE80+1,0)</f>
      </c>
      <c r="BG80" s="3" t="e">
        <f>IF(BG79=1,BF80+1,0)</f>
      </c>
      <c r="BH80" s="3" t="e">
        <f>IF(BH79=1,BG80+1,0)</f>
      </c>
      <c r="BI80" s="3" t="e">
        <f>IF(BI79=1,BH80+1,0)</f>
      </c>
      <c r="BJ80" s="3" t="e">
        <f>IF(BJ79=1,BI80+1,0)</f>
      </c>
      <c r="BK80" s="3" t="e">
        <f>IF(BK79=1,BJ80+1,0)</f>
      </c>
      <c r="BL80" s="3" t="e">
        <f>O80</f>
      </c>
      <c r="BM80" s="3" t="e">
        <f>AA80</f>
      </c>
      <c r="BN80" s="3" t="e">
        <f>AM80</f>
      </c>
      <c r="BO80" s="3" t="e">
        <f>AY80</f>
      </c>
      <c r="BP80" s="3" t="e">
        <f>BK80</f>
      </c>
    </row>
    <row r="81">
      <c r="A81" t="str">
        <v>Commercial salarié n°24 — productivité (ramp)</v>
      </c>
      <c r="B81" t="str">
        <v>%</v>
      </c>
      <c r="C81" s="2">
        <v>0</v>
      </c>
      <c r="D81" s="2" t="e">
        <f>IF(D79=1,MIN(1,D80/'Hypothèses'!$D$19),0)</f>
      </c>
      <c r="E81" s="2" t="e">
        <f>IF(E79=1,MIN(1,E80/'Hypothèses'!$D$19),0)</f>
      </c>
      <c r="F81" s="2" t="e">
        <f>IF(F79=1,MIN(1,F80/'Hypothèses'!$D$19),0)</f>
      </c>
      <c r="G81" s="2" t="e">
        <f>IF(G79=1,MIN(1,G80/'Hypothèses'!$D$19),0)</f>
      </c>
      <c r="H81" s="2" t="e">
        <f>IF(H79=1,MIN(1,H80/'Hypothèses'!$D$19),0)</f>
      </c>
      <c r="I81" s="2" t="e">
        <f>IF(I79=1,MIN(1,I80/'Hypothèses'!$D$19),0)</f>
      </c>
      <c r="J81" s="2" t="e">
        <f>IF(J79=1,MIN(1,J80/'Hypothèses'!$D$19),0)</f>
      </c>
      <c r="K81" s="2" t="e">
        <f>IF(K79=1,MIN(1,K80/'Hypothèses'!$D$19),0)</f>
      </c>
      <c r="L81" s="2" t="e">
        <f>IF(L79=1,MIN(1,L80/'Hypothèses'!$D$19),0)</f>
      </c>
      <c r="M81" s="2" t="e">
        <f>IF(M79=1,MIN(1,M80/'Hypothèses'!$D$19),0)</f>
      </c>
      <c r="N81" s="2" t="e">
        <f>IF(N79=1,MIN(1,N80/'Hypothèses'!$D$19),0)</f>
      </c>
      <c r="O81" s="2" t="e">
        <f>IF(O79=1,MIN(1,O80/'Hypothèses'!$D$19),0)</f>
      </c>
      <c r="P81" s="2" t="e">
        <f>IF(P79=1,MIN(1,P80/'Hypothèses'!$D$19),0)</f>
      </c>
      <c r="Q81" s="2" t="e">
        <f>IF(Q79=1,MIN(1,Q80/'Hypothèses'!$D$19),0)</f>
      </c>
      <c r="R81" s="2" t="e">
        <f>IF(R79=1,MIN(1,R80/'Hypothèses'!$D$19),0)</f>
      </c>
      <c r="S81" s="2" t="e">
        <f>IF(S79=1,MIN(1,S80/'Hypothèses'!$D$19),0)</f>
      </c>
      <c r="T81" s="2" t="e">
        <f>IF(T79=1,MIN(1,T80/'Hypothèses'!$D$19),0)</f>
      </c>
      <c r="U81" s="2" t="e">
        <f>IF(U79=1,MIN(1,U80/'Hypothèses'!$D$19),0)</f>
      </c>
      <c r="V81" s="2" t="e">
        <f>IF(V79=1,MIN(1,V80/'Hypothèses'!$D$19),0)</f>
      </c>
      <c r="W81" s="2" t="e">
        <f>IF(W79=1,MIN(1,W80/'Hypothèses'!$D$19),0)</f>
      </c>
      <c r="X81" s="2" t="e">
        <f>IF(X79=1,MIN(1,X80/'Hypothèses'!$D$19),0)</f>
      </c>
      <c r="Y81" s="2" t="e">
        <f>IF(Y79=1,MIN(1,Y80/'Hypothèses'!$D$19),0)</f>
      </c>
      <c r="Z81" s="2" t="e">
        <f>IF(Z79=1,MIN(1,Z80/'Hypothèses'!$D$19),0)</f>
      </c>
      <c r="AA81" s="2" t="e">
        <f>IF(AA79=1,MIN(1,AA80/'Hypothèses'!$D$19),0)</f>
      </c>
      <c r="AB81" s="2" t="e">
        <f>IF(AB79=1,MIN(1,AB80/'Hypothèses'!$D$19),0)</f>
      </c>
      <c r="AC81" s="2" t="e">
        <f>IF(AC79=1,MIN(1,AC80/'Hypothèses'!$D$19),0)</f>
      </c>
      <c r="AD81" s="2" t="e">
        <f>IF(AD79=1,MIN(1,AD80/'Hypothèses'!$D$19),0)</f>
      </c>
      <c r="AE81" s="2" t="e">
        <f>IF(AE79=1,MIN(1,AE80/'Hypothèses'!$D$19),0)</f>
      </c>
      <c r="AF81" s="2" t="e">
        <f>IF(AF79=1,MIN(1,AF80/'Hypothèses'!$D$19),0)</f>
      </c>
      <c r="AG81" s="2" t="e">
        <f>IF(AG79=1,MIN(1,AG80/'Hypothèses'!$D$19),0)</f>
      </c>
      <c r="AH81" s="2" t="e">
        <f>IF(AH79=1,MIN(1,AH80/'Hypothèses'!$D$19),0)</f>
      </c>
      <c r="AI81" s="2" t="e">
        <f>IF(AI79=1,MIN(1,AI80/'Hypothèses'!$D$19),0)</f>
      </c>
      <c r="AJ81" s="2" t="e">
        <f>IF(AJ79=1,MIN(1,AJ80/'Hypothèses'!$D$19),0)</f>
      </c>
      <c r="AK81" s="2" t="e">
        <f>IF(AK79=1,MIN(1,AK80/'Hypothèses'!$D$19),0)</f>
      </c>
      <c r="AL81" s="2" t="e">
        <f>IF(AL79=1,MIN(1,AL80/'Hypothèses'!$D$19),0)</f>
      </c>
      <c r="AM81" s="2" t="e">
        <f>IF(AM79=1,MIN(1,AM80/'Hypothèses'!$D$19),0)</f>
      </c>
      <c r="AN81" s="2" t="e">
        <f>IF(AN79=1,MIN(1,AN80/'Hypothèses'!$D$19),0)</f>
      </c>
      <c r="AO81" s="2" t="e">
        <f>IF(AO79=1,MIN(1,AO80/'Hypothèses'!$D$19),0)</f>
      </c>
      <c r="AP81" s="2" t="e">
        <f>IF(AP79=1,MIN(1,AP80/'Hypothèses'!$D$19),0)</f>
      </c>
      <c r="AQ81" s="2" t="e">
        <f>IF(AQ79=1,MIN(1,AQ80/'Hypothèses'!$D$19),0)</f>
      </c>
      <c r="AR81" s="2" t="e">
        <f>IF(AR79=1,MIN(1,AR80/'Hypothèses'!$D$19),0)</f>
      </c>
      <c r="AS81" s="2" t="e">
        <f>IF(AS79=1,MIN(1,AS80/'Hypothèses'!$D$19),0)</f>
      </c>
      <c r="AT81" s="2" t="e">
        <f>IF(AT79=1,MIN(1,AT80/'Hypothèses'!$D$19),0)</f>
      </c>
      <c r="AU81" s="2" t="e">
        <f>IF(AU79=1,MIN(1,AU80/'Hypothèses'!$D$19),0)</f>
      </c>
      <c r="AV81" s="2" t="e">
        <f>IF(AV79=1,MIN(1,AV80/'Hypothèses'!$D$19),0)</f>
      </c>
      <c r="AW81" s="2" t="e">
        <f>IF(AW79=1,MIN(1,AW80/'Hypothèses'!$D$19),0)</f>
      </c>
      <c r="AX81" s="2" t="e">
        <f>IF(AX79=1,MIN(1,AX80/'Hypothèses'!$D$19),0)</f>
      </c>
      <c r="AY81" s="2" t="e">
        <f>IF(AY79=1,MIN(1,AY80/'Hypothèses'!$D$19),0)</f>
      </c>
      <c r="AZ81" s="2" t="e">
        <f>IF(AZ79=1,MIN(1,AZ80/'Hypothèses'!$D$19),0)</f>
      </c>
      <c r="BA81" s="2" t="e">
        <f>IF(BA79=1,MIN(1,BA80/'Hypothèses'!$D$19),0)</f>
      </c>
      <c r="BB81" s="2" t="e">
        <f>IF(BB79=1,MIN(1,BB80/'Hypothèses'!$D$19),0)</f>
      </c>
      <c r="BC81" s="2" t="e">
        <f>IF(BC79=1,MIN(1,BC80/'Hypothèses'!$D$19),0)</f>
      </c>
      <c r="BD81" s="2" t="e">
        <f>IF(BD79=1,MIN(1,BD80/'Hypothèses'!$D$19),0)</f>
      </c>
      <c r="BE81" s="2" t="e">
        <f>IF(BE79=1,MIN(1,BE80/'Hypothèses'!$D$19),0)</f>
      </c>
      <c r="BF81" s="2" t="e">
        <f>IF(BF79=1,MIN(1,BF80/'Hypothèses'!$D$19),0)</f>
      </c>
      <c r="BG81" s="2" t="e">
        <f>IF(BG79=1,MIN(1,BG80/'Hypothèses'!$D$19),0)</f>
      </c>
      <c r="BH81" s="2" t="e">
        <f>IF(BH79=1,MIN(1,BH80/'Hypothèses'!$D$19),0)</f>
      </c>
      <c r="BI81" s="2" t="e">
        <f>IF(BI79=1,MIN(1,BI80/'Hypothèses'!$D$19),0)</f>
      </c>
      <c r="BJ81" s="2" t="e">
        <f>IF(BJ79=1,MIN(1,BJ80/'Hypothèses'!$D$19),0)</f>
      </c>
      <c r="BK81" s="2" t="e">
        <f>IF(BK79=1,MIN(1,BK80/'Hypothèses'!$D$19),0)</f>
      </c>
      <c r="BL81" s="2" t="e">
        <f>AVERAGE(D81:O81)</f>
      </c>
      <c r="BM81" s="2" t="e">
        <f>AVERAGE(P81:AA81)</f>
      </c>
      <c r="BN81" s="2" t="e">
        <f>AVERAGE(AB81:AM81)</f>
      </c>
      <c r="BO81" s="2" t="e">
        <f>AVERAGE(AN81:AY81)</f>
      </c>
      <c r="BP81" s="2" t="e">
        <f>AVERAGE(AZ81:BK81)</f>
      </c>
    </row>
    <row r="82">
      <c r="A82" t="str">
        <v>Commerciaux salariés en poste</v>
      </c>
      <c r="B82" t="str">
        <v>pers.</v>
      </c>
      <c r="C82" s="8">
        <v>0</v>
      </c>
      <c r="D82" s="8" t="e">
        <f>D10+D13+D16+D19+D22+D25+D28+D31+D34+D37+D40+D43+D46+D49+D52+D55+D58+D61+D64+D67+D70+D73+D76+D79</f>
      </c>
      <c r="E82" s="8" t="e">
        <f>E10+E13+E16+E19+E22+E25+E28+E31+E34+E37+E40+E43+E46+E49+E52+E55+E58+E61+E64+E67+E70+E73+E76+E79</f>
      </c>
      <c r="F82" s="8" t="e">
        <f>F10+F13+F16+F19+F22+F25+F28+F31+F34+F37+F40+F43+F46+F49+F52+F55+F58+F61+F64+F67+F70+F73+F76+F79</f>
      </c>
      <c r="G82" s="8" t="e">
        <f>G10+G13+G16+G19+G22+G25+G28+G31+G34+G37+G40+G43+G46+G49+G52+G55+G58+G61+G64+G67+G70+G73+G76+G79</f>
      </c>
      <c r="H82" s="8" t="e">
        <f>H10+H13+H16+H19+H22+H25+H28+H31+H34+H37+H40+H43+H46+H49+H52+H55+H58+H61+H64+H67+H70+H73+H76+H79</f>
      </c>
      <c r="I82" s="8" t="e">
        <f>I10+I13+I16+I19+I22+I25+I28+I31+I34+I37+I40+I43+I46+I49+I52+I55+I58+I61+I64+I67+I70+I73+I76+I79</f>
      </c>
      <c r="J82" s="8" t="e">
        <f>J10+J13+J16+J19+J22+J25+J28+J31+J34+J37+J40+J43+J46+J49+J52+J55+J58+J61+J64+J67+J70+J73+J76+J79</f>
      </c>
      <c r="K82" s="8" t="e">
        <f>K10+K13+K16+K19+K22+K25+K28+K31+K34+K37+K40+K43+K46+K49+K52+K55+K58+K61+K64+K67+K70+K73+K76+K79</f>
      </c>
      <c r="L82" s="8" t="e">
        <f>L10+L13+L16+L19+L22+L25+L28+L31+L34+L37+L40+L43+L46+L49+L52+L55+L58+L61+L64+L67+L70+L73+L76+L79</f>
      </c>
      <c r="M82" s="8" t="e">
        <f>M10+M13+M16+M19+M22+M25+M28+M31+M34+M37+M40+M43+M46+M49+M52+M55+M58+M61+M64+M67+M70+M73+M76+M79</f>
      </c>
      <c r="N82" s="8" t="e">
        <f>N10+N13+N16+N19+N22+N25+N28+N31+N34+N37+N40+N43+N46+N49+N52+N55+N58+N61+N64+N67+N70+N73+N76+N79</f>
      </c>
      <c r="O82" s="8" t="e">
        <f>O10+O13+O16+O19+O22+O25+O28+O31+O34+O37+O40+O43+O46+O49+O52+O55+O58+O61+O64+O67+O70+O73+O76+O79</f>
      </c>
      <c r="P82" s="8" t="e">
        <f>P10+P13+P16+P19+P22+P25+P28+P31+P34+P37+P40+P43+P46+P49+P52+P55+P58+P61+P64+P67+P70+P73+P76+P79</f>
      </c>
      <c r="Q82" s="8" t="e">
        <f>Q10+Q13+Q16+Q19+Q22+Q25+Q28+Q31+Q34+Q37+Q40+Q43+Q46+Q49+Q52+Q55+Q58+Q61+Q64+Q67+Q70+Q73+Q76+Q79</f>
      </c>
      <c r="R82" s="8" t="e">
        <f>R10+R13+R16+R19+R22+R25+R28+R31+R34+R37+R40+R43+R46+R49+R52+R55+R58+R61+R64+R67+R70+R73+R76+R79</f>
      </c>
      <c r="S82" s="8" t="e">
        <f>S10+S13+S16+S19+S22+S25+S28+S31+S34+S37+S40+S43+S46+S49+S52+S55+S58+S61+S64+S67+S70+S73+S76+S79</f>
      </c>
      <c r="T82" s="8" t="e">
        <f>T10+T13+T16+T19+T22+T25+T28+T31+T34+T37+T40+T43+T46+T49+T52+T55+T58+T61+T64+T67+T70+T73+T76+T79</f>
      </c>
      <c r="U82" s="8" t="e">
        <f>U10+U13+U16+U19+U22+U25+U28+U31+U34+U37+U40+U43+U46+U49+U52+U55+U58+U61+U64+U67+U70+U73+U76+U79</f>
      </c>
      <c r="V82" s="8" t="e">
        <f>V10+V13+V16+V19+V22+V25+V28+V31+V34+V37+V40+V43+V46+V49+V52+V55+V58+V61+V64+V67+V70+V73+V76+V79</f>
      </c>
      <c r="W82" s="8" t="e">
        <f>W10+W13+W16+W19+W22+W25+W28+W31+W34+W37+W40+W43+W46+W49+W52+W55+W58+W61+W64+W67+W70+W73+W76+W79</f>
      </c>
      <c r="X82" s="8" t="e">
        <f>X10+X13+X16+X19+X22+X25+X28+X31+X34+X37+X40+X43+X46+X49+X52+X55+X58+X61+X64+X67+X70+X73+X76+X79</f>
      </c>
      <c r="Y82" s="8" t="e">
        <f>Y10+Y13+Y16+Y19+Y22+Y25+Y28+Y31+Y34+Y37+Y40+Y43+Y46+Y49+Y52+Y55+Y58+Y61+Y64+Y67+Y70+Y73+Y76+Y79</f>
      </c>
      <c r="Z82" s="8" t="e">
        <f>Z10+Z13+Z16+Z19+Z22+Z25+Z28+Z31+Z34+Z37+Z40+Z43+Z46+Z49+Z52+Z55+Z58+Z61+Z64+Z67+Z70+Z73+Z76+Z79</f>
      </c>
      <c r="AA82" s="8" t="e">
        <f>AA10+AA13+AA16+AA19+AA22+AA25+AA28+AA31+AA34+AA37+AA40+AA43+AA46+AA49+AA52+AA55+AA58+AA61+AA64+AA67+AA70+AA73+AA76+AA79</f>
      </c>
      <c r="AB82" s="8" t="e">
        <f>AB10+AB13+AB16+AB19+AB22+AB25+AB28+AB31+AB34+AB37+AB40+AB43+AB46+AB49+AB52+AB55+AB58+AB61+AB64+AB67+AB70+AB73+AB76+AB79</f>
      </c>
      <c r="AC82" s="8" t="e">
        <f>AC10+AC13+AC16+AC19+AC22+AC25+AC28+AC31+AC34+AC37+AC40+AC43+AC46+AC49+AC52+AC55+AC58+AC61+AC64+AC67+AC70+AC73+AC76+AC79</f>
      </c>
      <c r="AD82" s="8" t="e">
        <f>AD10+AD13+AD16+AD19+AD22+AD25+AD28+AD31+AD34+AD37+AD40+AD43+AD46+AD49+AD52+AD55+AD58+AD61+AD64+AD67+AD70+AD73+AD76+AD79</f>
      </c>
      <c r="AE82" s="8" t="e">
        <f>AE10+AE13+AE16+AE19+AE22+AE25+AE28+AE31+AE34+AE37+AE40+AE43+AE46+AE49+AE52+AE55+AE58+AE61+AE64+AE67+AE70+AE73+AE76+AE79</f>
      </c>
      <c r="AF82" s="8" t="e">
        <f>AF10+AF13+AF16+AF19+AF22+AF25+AF28+AF31+AF34+AF37+AF40+AF43+AF46+AF49+AF52+AF55+AF58+AF61+AF64+AF67+AF70+AF73+AF76+AF79</f>
      </c>
      <c r="AG82" s="8" t="e">
        <f>AG10+AG13+AG16+AG19+AG22+AG25+AG28+AG31+AG34+AG37+AG40+AG43+AG46+AG49+AG52+AG55+AG58+AG61+AG64+AG67+AG70+AG73+AG76+AG79</f>
      </c>
      <c r="AH82" s="8" t="e">
        <f>AH10+AH13+AH16+AH19+AH22+AH25+AH28+AH31+AH34+AH37+AH40+AH43+AH46+AH49+AH52+AH55+AH58+AH61+AH64+AH67+AH70+AH73+AH76+AH79</f>
      </c>
      <c r="AI82" s="8" t="e">
        <f>AI10+AI13+AI16+AI19+AI22+AI25+AI28+AI31+AI34+AI37+AI40+AI43+AI46+AI49+AI52+AI55+AI58+AI61+AI64+AI67+AI70+AI73+AI76+AI79</f>
      </c>
      <c r="AJ82" s="8" t="e">
        <f>AJ10+AJ13+AJ16+AJ19+AJ22+AJ25+AJ28+AJ31+AJ34+AJ37+AJ40+AJ43+AJ46+AJ49+AJ52+AJ55+AJ58+AJ61+AJ64+AJ67+AJ70+AJ73+AJ76+AJ79</f>
      </c>
      <c r="AK82" s="8" t="e">
        <f>AK10+AK13+AK16+AK19+AK22+AK25+AK28+AK31+AK34+AK37+AK40+AK43+AK46+AK49+AK52+AK55+AK58+AK61+AK64+AK67+AK70+AK73+AK76+AK79</f>
      </c>
      <c r="AL82" s="8" t="e">
        <f>AL10+AL13+AL16+AL19+AL22+AL25+AL28+AL31+AL34+AL37+AL40+AL43+AL46+AL49+AL52+AL55+AL58+AL61+AL64+AL67+AL70+AL73+AL76+AL79</f>
      </c>
      <c r="AM82" s="8" t="e">
        <f>AM10+AM13+AM16+AM19+AM22+AM25+AM28+AM31+AM34+AM37+AM40+AM43+AM46+AM49+AM52+AM55+AM58+AM61+AM64+AM67+AM70+AM73+AM76+AM79</f>
      </c>
      <c r="AN82" s="8" t="e">
        <f>AN10+AN13+AN16+AN19+AN22+AN25+AN28+AN31+AN34+AN37+AN40+AN43+AN46+AN49+AN52+AN55+AN58+AN61+AN64+AN67+AN70+AN73+AN76+AN79</f>
      </c>
      <c r="AO82" s="8" t="e">
        <f>AO10+AO13+AO16+AO19+AO22+AO25+AO28+AO31+AO34+AO37+AO40+AO43+AO46+AO49+AO52+AO55+AO58+AO61+AO64+AO67+AO70+AO73+AO76+AO79</f>
      </c>
      <c r="AP82" s="8" t="e">
        <f>AP10+AP13+AP16+AP19+AP22+AP25+AP28+AP31+AP34+AP37+AP40+AP43+AP46+AP49+AP52+AP55+AP58+AP61+AP64+AP67+AP70+AP73+AP76+AP79</f>
      </c>
      <c r="AQ82" s="8" t="e">
        <f>AQ10+AQ13+AQ16+AQ19+AQ22+AQ25+AQ28+AQ31+AQ34+AQ37+AQ40+AQ43+AQ46+AQ49+AQ52+AQ55+AQ58+AQ61+AQ64+AQ67+AQ70+AQ73+AQ76+AQ79</f>
      </c>
      <c r="AR82" s="8" t="e">
        <f>AR10+AR13+AR16+AR19+AR22+AR25+AR28+AR31+AR34+AR37+AR40+AR43+AR46+AR49+AR52+AR55+AR58+AR61+AR64+AR67+AR70+AR73+AR76+AR79</f>
      </c>
      <c r="AS82" s="8" t="e">
        <f>AS10+AS13+AS16+AS19+AS22+AS25+AS28+AS31+AS34+AS37+AS40+AS43+AS46+AS49+AS52+AS55+AS58+AS61+AS64+AS67+AS70+AS73+AS76+AS79</f>
      </c>
      <c r="AT82" s="8" t="e">
        <f>AT10+AT13+AT16+AT19+AT22+AT25+AT28+AT31+AT34+AT37+AT40+AT43+AT46+AT49+AT52+AT55+AT58+AT61+AT64+AT67+AT70+AT73+AT76+AT79</f>
      </c>
      <c r="AU82" s="8" t="e">
        <f>AU10+AU13+AU16+AU19+AU22+AU25+AU28+AU31+AU34+AU37+AU40+AU43+AU46+AU49+AU52+AU55+AU58+AU61+AU64+AU67+AU70+AU73+AU76+AU79</f>
      </c>
      <c r="AV82" s="8" t="e">
        <f>AV10+AV13+AV16+AV19+AV22+AV25+AV28+AV31+AV34+AV37+AV40+AV43+AV46+AV49+AV52+AV55+AV58+AV61+AV64+AV67+AV70+AV73+AV76+AV79</f>
      </c>
      <c r="AW82" s="8" t="e">
        <f>AW10+AW13+AW16+AW19+AW22+AW25+AW28+AW31+AW34+AW37+AW40+AW43+AW46+AW49+AW52+AW55+AW58+AW61+AW64+AW67+AW70+AW73+AW76+AW79</f>
      </c>
      <c r="AX82" s="8" t="e">
        <f>AX10+AX13+AX16+AX19+AX22+AX25+AX28+AX31+AX34+AX37+AX40+AX43+AX46+AX49+AX52+AX55+AX58+AX61+AX64+AX67+AX70+AX73+AX76+AX79</f>
      </c>
      <c r="AY82" s="8" t="e">
        <f>AY10+AY13+AY16+AY19+AY22+AY25+AY28+AY31+AY34+AY37+AY40+AY43+AY46+AY49+AY52+AY55+AY58+AY61+AY64+AY67+AY70+AY73+AY76+AY79</f>
      </c>
      <c r="AZ82" s="8" t="e">
        <f>AZ10+AZ13+AZ16+AZ19+AZ22+AZ25+AZ28+AZ31+AZ34+AZ37+AZ40+AZ43+AZ46+AZ49+AZ52+AZ55+AZ58+AZ61+AZ64+AZ67+AZ70+AZ73+AZ76+AZ79</f>
      </c>
      <c r="BA82" s="8" t="e">
        <f>BA10+BA13+BA16+BA19+BA22+BA25+BA28+BA31+BA34+BA37+BA40+BA43+BA46+BA49+BA52+BA55+BA58+BA61+BA64+BA67+BA70+BA73+BA76+BA79</f>
      </c>
      <c r="BB82" s="8" t="e">
        <f>BB10+BB13+BB16+BB19+BB22+BB25+BB28+BB31+BB34+BB37+BB40+BB43+BB46+BB49+BB52+BB55+BB58+BB61+BB64+BB67+BB70+BB73+BB76+BB79</f>
      </c>
      <c r="BC82" s="8" t="e">
        <f>BC10+BC13+BC16+BC19+BC22+BC25+BC28+BC31+BC34+BC37+BC40+BC43+BC46+BC49+BC52+BC55+BC58+BC61+BC64+BC67+BC70+BC73+BC76+BC79</f>
      </c>
      <c r="BD82" s="8" t="e">
        <f>BD10+BD13+BD16+BD19+BD22+BD25+BD28+BD31+BD34+BD37+BD40+BD43+BD46+BD49+BD52+BD55+BD58+BD61+BD64+BD67+BD70+BD73+BD76+BD79</f>
      </c>
      <c r="BE82" s="8" t="e">
        <f>BE10+BE13+BE16+BE19+BE22+BE25+BE28+BE31+BE34+BE37+BE40+BE43+BE46+BE49+BE52+BE55+BE58+BE61+BE64+BE67+BE70+BE73+BE76+BE79</f>
      </c>
      <c r="BF82" s="8" t="e">
        <f>BF10+BF13+BF16+BF19+BF22+BF25+BF28+BF31+BF34+BF37+BF40+BF43+BF46+BF49+BF52+BF55+BF58+BF61+BF64+BF67+BF70+BF73+BF76+BF79</f>
      </c>
      <c r="BG82" s="8" t="e">
        <f>BG10+BG13+BG16+BG19+BG22+BG25+BG28+BG31+BG34+BG37+BG40+BG43+BG46+BG49+BG52+BG55+BG58+BG61+BG64+BG67+BG70+BG73+BG76+BG79</f>
      </c>
      <c r="BH82" s="8" t="e">
        <f>BH10+BH13+BH16+BH19+BH22+BH25+BH28+BH31+BH34+BH37+BH40+BH43+BH46+BH49+BH52+BH55+BH58+BH61+BH64+BH67+BH70+BH73+BH76+BH79</f>
      </c>
      <c r="BI82" s="8" t="e">
        <f>BI10+BI13+BI16+BI19+BI22+BI25+BI28+BI31+BI34+BI37+BI40+BI43+BI46+BI49+BI52+BI55+BI58+BI61+BI64+BI67+BI70+BI73+BI76+BI79</f>
      </c>
      <c r="BJ82" s="8" t="e">
        <f>BJ10+BJ13+BJ16+BJ19+BJ22+BJ25+BJ28+BJ31+BJ34+BJ37+BJ40+BJ43+BJ46+BJ49+BJ52+BJ55+BJ58+BJ61+BJ64+BJ67+BJ70+BJ73+BJ76+BJ79</f>
      </c>
      <c r="BK82" s="8" t="e">
        <f>BK10+BK13+BK16+BK19+BK22+BK25+BK28+BK31+BK34+BK37+BK40+BK43+BK46+BK49+BK52+BK55+BK58+BK61+BK64+BK67+BK70+BK73+BK76+BK79</f>
      </c>
      <c r="BL82" s="8" t="e">
        <f>O82</f>
      </c>
      <c r="BM82" s="8" t="e">
        <f>AA82</f>
      </c>
      <c r="BN82" s="8" t="e">
        <f>AM82</f>
      </c>
      <c r="BO82" s="8" t="e">
        <f>AY82</f>
      </c>
      <c r="BP82" s="8" t="e">
        <f>BK82</f>
      </c>
    </row>
    <row r="83">
      <c r="A83" t="str">
        <v>Capacité commerciale salariés (ETP productifs, après attrition)</v>
      </c>
      <c r="B83" t="str">
        <v>ETP</v>
      </c>
      <c r="D83" s="6" t="e">
        <f>(D12+D15+D18+D21+D24+D27+D30+D33+D36+D39+D42+D45+D48+D51+D54+D57+D60+D63+D66+D69+D72+D75+D78+D81)*'Hypothèses'!$D$24</f>
      </c>
      <c r="E83" s="6" t="e">
        <f>(E12+E15+E18+E21+E24+E27+E30+E33+E36+E39+E42+E45+E48+E51+E54+E57+E60+E63+E66+E69+E72+E75+E78+E81)*'Hypothèses'!$D$24</f>
      </c>
      <c r="F83" s="6" t="e">
        <f>(F12+F15+F18+F21+F24+F27+F30+F33+F36+F39+F42+F45+F48+F51+F54+F57+F60+F63+F66+F69+F72+F75+F78+F81)*'Hypothèses'!$D$24</f>
      </c>
      <c r="G83" s="6" t="e">
        <f>(G12+G15+G18+G21+G24+G27+G30+G33+G36+G39+G42+G45+G48+G51+G54+G57+G60+G63+G66+G69+G72+G75+G78+G81)*'Hypothèses'!$D$24</f>
      </c>
      <c r="H83" s="6" t="e">
        <f>(H12+H15+H18+H21+H24+H27+H30+H33+H36+H39+H42+H45+H48+H51+H54+H57+H60+H63+H66+H69+H72+H75+H78+H81)*'Hypothèses'!$D$24</f>
      </c>
      <c r="I83" s="6" t="e">
        <f>(I12+I15+I18+I21+I24+I27+I30+I33+I36+I39+I42+I45+I48+I51+I54+I57+I60+I63+I66+I69+I72+I75+I78+I81)*'Hypothèses'!$D$24</f>
      </c>
      <c r="J83" s="6" t="e">
        <f>(J12+J15+J18+J21+J24+J27+J30+J33+J36+J39+J42+J45+J48+J51+J54+J57+J60+J63+J66+J69+J72+J75+J78+J81)*'Hypothèses'!$D$24</f>
      </c>
      <c r="K83" s="6" t="e">
        <f>(K12+K15+K18+K21+K24+K27+K30+K33+K36+K39+K42+K45+K48+K51+K54+K57+K60+K63+K66+K69+K72+K75+K78+K81)*'Hypothèses'!$D$24</f>
      </c>
      <c r="L83" s="6" t="e">
        <f>(L12+L15+L18+L21+L24+L27+L30+L33+L36+L39+L42+L45+L48+L51+L54+L57+L60+L63+L66+L69+L72+L75+L78+L81)*'Hypothèses'!$D$24</f>
      </c>
      <c r="M83" s="6" t="e">
        <f>(M12+M15+M18+M21+M24+M27+M30+M33+M36+M39+M42+M45+M48+M51+M54+M57+M60+M63+M66+M69+M72+M75+M78+M81)*'Hypothèses'!$D$24</f>
      </c>
      <c r="N83" s="6" t="e">
        <f>(N12+N15+N18+N21+N24+N27+N30+N33+N36+N39+N42+N45+N48+N51+N54+N57+N60+N63+N66+N69+N72+N75+N78+N81)*'Hypothèses'!$D$24</f>
      </c>
      <c r="O83" s="6" t="e">
        <f>(O12+O15+O18+O21+O24+O27+O30+O33+O36+O39+O42+O45+O48+O51+O54+O57+O60+O63+O66+O69+O72+O75+O78+O81)*'Hypothèses'!$D$24</f>
      </c>
      <c r="P83" s="6" t="e">
        <f>(P12+P15+P18+P21+P24+P27+P30+P33+P36+P39+P42+P45+P48+P51+P54+P57+P60+P63+P66+P69+P72+P75+P78+P81)*'Hypothèses'!$D$24</f>
      </c>
      <c r="Q83" s="6" t="e">
        <f>(Q12+Q15+Q18+Q21+Q24+Q27+Q30+Q33+Q36+Q39+Q42+Q45+Q48+Q51+Q54+Q57+Q60+Q63+Q66+Q69+Q72+Q75+Q78+Q81)*'Hypothèses'!$D$24</f>
      </c>
      <c r="R83" s="6" t="e">
        <f>(R12+R15+R18+R21+R24+R27+R30+R33+R36+R39+R42+R45+R48+R51+R54+R57+R60+R63+R66+R69+R72+R75+R78+R81)*'Hypothèses'!$D$24</f>
      </c>
      <c r="S83" s="6" t="e">
        <f>(S12+S15+S18+S21+S24+S27+S30+S33+S36+S39+S42+S45+S48+S51+S54+S57+S60+S63+S66+S69+S72+S75+S78+S81)*'Hypothèses'!$D$24</f>
      </c>
      <c r="T83" s="6" t="e">
        <f>(T12+T15+T18+T21+T24+T27+T30+T33+T36+T39+T42+T45+T48+T51+T54+T57+T60+T63+T66+T69+T72+T75+T78+T81)*'Hypothèses'!$D$24</f>
      </c>
      <c r="U83" s="6" t="e">
        <f>(U12+U15+U18+U21+U24+U27+U30+U33+U36+U39+U42+U45+U48+U51+U54+U57+U60+U63+U66+U69+U72+U75+U78+U81)*'Hypothèses'!$D$24</f>
      </c>
      <c r="V83" s="6" t="e">
        <f>(V12+V15+V18+V21+V24+V27+V30+V33+V36+V39+V42+V45+V48+V51+V54+V57+V60+V63+V66+V69+V72+V75+V78+V81)*'Hypothèses'!$D$24</f>
      </c>
      <c r="W83" s="6" t="e">
        <f>(W12+W15+W18+W21+W24+W27+W30+W33+W36+W39+W42+W45+W48+W51+W54+W57+W60+W63+W66+W69+W72+W75+W78+W81)*'Hypothèses'!$D$24</f>
      </c>
      <c r="X83" s="6" t="e">
        <f>(X12+X15+X18+X21+X24+X27+X30+X33+X36+X39+X42+X45+X48+X51+X54+X57+X60+X63+X66+X69+X72+X75+X78+X81)*'Hypothèses'!$D$24</f>
      </c>
      <c r="Y83" s="6" t="e">
        <f>(Y12+Y15+Y18+Y21+Y24+Y27+Y30+Y33+Y36+Y39+Y42+Y45+Y48+Y51+Y54+Y57+Y60+Y63+Y66+Y69+Y72+Y75+Y78+Y81)*'Hypothèses'!$D$24</f>
      </c>
      <c r="Z83" s="6" t="e">
        <f>(Z12+Z15+Z18+Z21+Z24+Z27+Z30+Z33+Z36+Z39+Z42+Z45+Z48+Z51+Z54+Z57+Z60+Z63+Z66+Z69+Z72+Z75+Z78+Z81)*'Hypothèses'!$D$24</f>
      </c>
      <c r="AA83" s="6" t="e">
        <f>(AA12+AA15+AA18+AA21+AA24+AA27+AA30+AA33+AA36+AA39+AA42+AA45+AA48+AA51+AA54+AA57+AA60+AA63+AA66+AA69+AA72+AA75+AA78+AA81)*'Hypothèses'!$D$24</f>
      </c>
      <c r="AB83" s="6" t="e">
        <f>(AB12+AB15+AB18+AB21+AB24+AB27+AB30+AB33+AB36+AB39+AB42+AB45+AB48+AB51+AB54+AB57+AB60+AB63+AB66+AB69+AB72+AB75+AB78+AB81)*'Hypothèses'!$D$24</f>
      </c>
      <c r="AC83" s="6" t="e">
        <f>(AC12+AC15+AC18+AC21+AC24+AC27+AC30+AC33+AC36+AC39+AC42+AC45+AC48+AC51+AC54+AC57+AC60+AC63+AC66+AC69+AC72+AC75+AC78+AC81)*'Hypothèses'!$D$24</f>
      </c>
      <c r="AD83" s="6" t="e">
        <f>(AD12+AD15+AD18+AD21+AD24+AD27+AD30+AD33+AD36+AD39+AD42+AD45+AD48+AD51+AD54+AD57+AD60+AD63+AD66+AD69+AD72+AD75+AD78+AD81)*'Hypothèses'!$D$24</f>
      </c>
      <c r="AE83" s="6" t="e">
        <f>(AE12+AE15+AE18+AE21+AE24+AE27+AE30+AE33+AE36+AE39+AE42+AE45+AE48+AE51+AE54+AE57+AE60+AE63+AE66+AE69+AE72+AE75+AE78+AE81)*'Hypothèses'!$D$24</f>
      </c>
      <c r="AF83" s="6" t="e">
        <f>(AF12+AF15+AF18+AF21+AF24+AF27+AF30+AF33+AF36+AF39+AF42+AF45+AF48+AF51+AF54+AF57+AF60+AF63+AF66+AF69+AF72+AF75+AF78+AF81)*'Hypothèses'!$D$24</f>
      </c>
      <c r="AG83" s="6" t="e">
        <f>(AG12+AG15+AG18+AG21+AG24+AG27+AG30+AG33+AG36+AG39+AG42+AG45+AG48+AG51+AG54+AG57+AG60+AG63+AG66+AG69+AG72+AG75+AG78+AG81)*'Hypothèses'!$D$24</f>
      </c>
      <c r="AH83" s="6" t="e">
        <f>(AH12+AH15+AH18+AH21+AH24+AH27+AH30+AH33+AH36+AH39+AH42+AH45+AH48+AH51+AH54+AH57+AH60+AH63+AH66+AH69+AH72+AH75+AH78+AH81)*'Hypothèses'!$D$24</f>
      </c>
      <c r="AI83" s="6" t="e">
        <f>(AI12+AI15+AI18+AI21+AI24+AI27+AI30+AI33+AI36+AI39+AI42+AI45+AI48+AI51+AI54+AI57+AI60+AI63+AI66+AI69+AI72+AI75+AI78+AI81)*'Hypothèses'!$D$24</f>
      </c>
      <c r="AJ83" s="6" t="e">
        <f>(AJ12+AJ15+AJ18+AJ21+AJ24+AJ27+AJ30+AJ33+AJ36+AJ39+AJ42+AJ45+AJ48+AJ51+AJ54+AJ57+AJ60+AJ63+AJ66+AJ69+AJ72+AJ75+AJ78+AJ81)*'Hypothèses'!$D$24</f>
      </c>
      <c r="AK83" s="6" t="e">
        <f>(AK12+AK15+AK18+AK21+AK24+AK27+AK30+AK33+AK36+AK39+AK42+AK45+AK48+AK51+AK54+AK57+AK60+AK63+AK66+AK69+AK72+AK75+AK78+AK81)*'Hypothèses'!$D$24</f>
      </c>
      <c r="AL83" s="6" t="e">
        <f>(AL12+AL15+AL18+AL21+AL24+AL27+AL30+AL33+AL36+AL39+AL42+AL45+AL48+AL51+AL54+AL57+AL60+AL63+AL66+AL69+AL72+AL75+AL78+AL81)*'Hypothèses'!$D$24</f>
      </c>
      <c r="AM83" s="6" t="e">
        <f>(AM12+AM15+AM18+AM21+AM24+AM27+AM30+AM33+AM36+AM39+AM42+AM45+AM48+AM51+AM54+AM57+AM60+AM63+AM66+AM69+AM72+AM75+AM78+AM81)*'Hypothèses'!$D$24</f>
      </c>
      <c r="AN83" s="6" t="e">
        <f>(AN12+AN15+AN18+AN21+AN24+AN27+AN30+AN33+AN36+AN39+AN42+AN45+AN48+AN51+AN54+AN57+AN60+AN63+AN66+AN69+AN72+AN75+AN78+AN81)*'Hypothèses'!$D$24</f>
      </c>
      <c r="AO83" s="6" t="e">
        <f>(AO12+AO15+AO18+AO21+AO24+AO27+AO30+AO33+AO36+AO39+AO42+AO45+AO48+AO51+AO54+AO57+AO60+AO63+AO66+AO69+AO72+AO75+AO78+AO81)*'Hypothèses'!$D$24</f>
      </c>
      <c r="AP83" s="6" t="e">
        <f>(AP12+AP15+AP18+AP21+AP24+AP27+AP30+AP33+AP36+AP39+AP42+AP45+AP48+AP51+AP54+AP57+AP60+AP63+AP66+AP69+AP72+AP75+AP78+AP81)*'Hypothèses'!$D$24</f>
      </c>
      <c r="AQ83" s="6" t="e">
        <f>(AQ12+AQ15+AQ18+AQ21+AQ24+AQ27+AQ30+AQ33+AQ36+AQ39+AQ42+AQ45+AQ48+AQ51+AQ54+AQ57+AQ60+AQ63+AQ66+AQ69+AQ72+AQ75+AQ78+AQ81)*'Hypothèses'!$D$24</f>
      </c>
      <c r="AR83" s="6" t="e">
        <f>(AR12+AR15+AR18+AR21+AR24+AR27+AR30+AR33+AR36+AR39+AR42+AR45+AR48+AR51+AR54+AR57+AR60+AR63+AR66+AR69+AR72+AR75+AR78+AR81)*'Hypothèses'!$D$24</f>
      </c>
      <c r="AS83" s="6" t="e">
        <f>(AS12+AS15+AS18+AS21+AS24+AS27+AS30+AS33+AS36+AS39+AS42+AS45+AS48+AS51+AS54+AS57+AS60+AS63+AS66+AS69+AS72+AS75+AS78+AS81)*'Hypothèses'!$D$24</f>
      </c>
      <c r="AT83" s="6" t="e">
        <f>(AT12+AT15+AT18+AT21+AT24+AT27+AT30+AT33+AT36+AT39+AT42+AT45+AT48+AT51+AT54+AT57+AT60+AT63+AT66+AT69+AT72+AT75+AT78+AT81)*'Hypothèses'!$D$24</f>
      </c>
      <c r="AU83" s="6" t="e">
        <f>(AU12+AU15+AU18+AU21+AU24+AU27+AU30+AU33+AU36+AU39+AU42+AU45+AU48+AU51+AU54+AU57+AU60+AU63+AU66+AU69+AU72+AU75+AU78+AU81)*'Hypothèses'!$D$24</f>
      </c>
      <c r="AV83" s="6" t="e">
        <f>(AV12+AV15+AV18+AV21+AV24+AV27+AV30+AV33+AV36+AV39+AV42+AV45+AV48+AV51+AV54+AV57+AV60+AV63+AV66+AV69+AV72+AV75+AV78+AV81)*'Hypothèses'!$D$24</f>
      </c>
      <c r="AW83" s="6" t="e">
        <f>(AW12+AW15+AW18+AW21+AW24+AW27+AW30+AW33+AW36+AW39+AW42+AW45+AW48+AW51+AW54+AW57+AW60+AW63+AW66+AW69+AW72+AW75+AW78+AW81)*'Hypothèses'!$D$24</f>
      </c>
      <c r="AX83" s="6" t="e">
        <f>(AX12+AX15+AX18+AX21+AX24+AX27+AX30+AX33+AX36+AX39+AX42+AX45+AX48+AX51+AX54+AX57+AX60+AX63+AX66+AX69+AX72+AX75+AX78+AX81)*'Hypothèses'!$D$24</f>
      </c>
      <c r="AY83" s="6" t="e">
        <f>(AY12+AY15+AY18+AY21+AY24+AY27+AY30+AY33+AY36+AY39+AY42+AY45+AY48+AY51+AY54+AY57+AY60+AY63+AY66+AY69+AY72+AY75+AY78+AY81)*'Hypothèses'!$D$24</f>
      </c>
      <c r="AZ83" s="6" t="e">
        <f>(AZ12+AZ15+AZ18+AZ21+AZ24+AZ27+AZ30+AZ33+AZ36+AZ39+AZ42+AZ45+AZ48+AZ51+AZ54+AZ57+AZ60+AZ63+AZ66+AZ69+AZ72+AZ75+AZ78+AZ81)*'Hypothèses'!$D$24</f>
      </c>
      <c r="BA83" s="6" t="e">
        <f>(BA12+BA15+BA18+BA21+BA24+BA27+BA30+BA33+BA36+BA39+BA42+BA45+BA48+BA51+BA54+BA57+BA60+BA63+BA66+BA69+BA72+BA75+BA78+BA81)*'Hypothèses'!$D$24</f>
      </c>
      <c r="BB83" s="6" t="e">
        <f>(BB12+BB15+BB18+BB21+BB24+BB27+BB30+BB33+BB36+BB39+BB42+BB45+BB48+BB51+BB54+BB57+BB60+BB63+BB66+BB69+BB72+BB75+BB78+BB81)*'Hypothèses'!$D$24</f>
      </c>
      <c r="BC83" s="6" t="e">
        <f>(BC12+BC15+BC18+BC21+BC24+BC27+BC30+BC33+BC36+BC39+BC42+BC45+BC48+BC51+BC54+BC57+BC60+BC63+BC66+BC69+BC72+BC75+BC78+BC81)*'Hypothèses'!$D$24</f>
      </c>
      <c r="BD83" s="6" t="e">
        <f>(BD12+BD15+BD18+BD21+BD24+BD27+BD30+BD33+BD36+BD39+BD42+BD45+BD48+BD51+BD54+BD57+BD60+BD63+BD66+BD69+BD72+BD75+BD78+BD81)*'Hypothèses'!$D$24</f>
      </c>
      <c r="BE83" s="6" t="e">
        <f>(BE12+BE15+BE18+BE21+BE24+BE27+BE30+BE33+BE36+BE39+BE42+BE45+BE48+BE51+BE54+BE57+BE60+BE63+BE66+BE69+BE72+BE75+BE78+BE81)*'Hypothèses'!$D$24</f>
      </c>
      <c r="BF83" s="6" t="e">
        <f>(BF12+BF15+BF18+BF21+BF24+BF27+BF30+BF33+BF36+BF39+BF42+BF45+BF48+BF51+BF54+BF57+BF60+BF63+BF66+BF69+BF72+BF75+BF78+BF81)*'Hypothèses'!$D$24</f>
      </c>
      <c r="BG83" s="6" t="e">
        <f>(BG12+BG15+BG18+BG21+BG24+BG27+BG30+BG33+BG36+BG39+BG42+BG45+BG48+BG51+BG54+BG57+BG60+BG63+BG66+BG69+BG72+BG75+BG78+BG81)*'Hypothèses'!$D$24</f>
      </c>
      <c r="BH83" s="6" t="e">
        <f>(BH12+BH15+BH18+BH21+BH24+BH27+BH30+BH33+BH36+BH39+BH42+BH45+BH48+BH51+BH54+BH57+BH60+BH63+BH66+BH69+BH72+BH75+BH78+BH81)*'Hypothèses'!$D$24</f>
      </c>
      <c r="BI83" s="6" t="e">
        <f>(BI12+BI15+BI18+BI21+BI24+BI27+BI30+BI33+BI36+BI39+BI42+BI45+BI48+BI51+BI54+BI57+BI60+BI63+BI66+BI69+BI72+BI75+BI78+BI81)*'Hypothèses'!$D$24</f>
      </c>
      <c r="BJ83" s="6" t="e">
        <f>(BJ12+BJ15+BJ18+BJ21+BJ24+BJ27+BJ30+BJ33+BJ36+BJ39+BJ42+BJ45+BJ48+BJ51+BJ54+BJ57+BJ60+BJ63+BJ66+BJ69+BJ72+BJ75+BJ78+BJ81)*'Hypothèses'!$D$24</f>
      </c>
      <c r="BK83" s="6" t="e">
        <f>(BK12+BK15+BK18+BK21+BK24+BK27+BK30+BK33+BK36+BK39+BK42+BK45+BK48+BK51+BK54+BK57+BK60+BK63+BK66+BK69+BK72+BK75+BK78+BK81)*'Hypothèses'!$D$24</f>
      </c>
      <c r="BL83" s="6" t="e">
        <f>AVERAGE(D83:O83)</f>
      </c>
      <c r="BM83" s="6" t="e">
        <f>AVERAGE(P83:AA83)</f>
      </c>
      <c r="BN83" s="6" t="e">
        <f>AVERAGE(AB83:AM83)</f>
      </c>
      <c r="BO83" s="6" t="e">
        <f>AVERAGE(AN83:AY83)</f>
      </c>
      <c r="BP83" s="6" t="e">
        <f>AVERAGE(AZ83:BK83)</f>
      </c>
    </row>
    <row r="84">
      <c r="A84" t="str">
        <v>Commerciaux recrutés dans le mois</v>
      </c>
      <c r="B84" t="str">
        <v>pers.</v>
      </c>
      <c r="D84" s="3" t="e">
        <f>D82-C82</f>
      </c>
      <c r="E84" s="3" t="e">
        <f>E82-D82</f>
      </c>
      <c r="F84" s="3" t="e">
        <f>F82-E82</f>
      </c>
      <c r="G84" s="3" t="e">
        <f>G82-F82</f>
      </c>
      <c r="H84" s="3" t="e">
        <f>H82-G82</f>
      </c>
      <c r="I84" s="3" t="e">
        <f>I82-H82</f>
      </c>
      <c r="J84" s="3" t="e">
        <f>J82-I82</f>
      </c>
      <c r="K84" s="3" t="e">
        <f>K82-J82</f>
      </c>
      <c r="L84" s="3" t="e">
        <f>L82-K82</f>
      </c>
      <c r="M84" s="3" t="e">
        <f>M82-L82</f>
      </c>
      <c r="N84" s="3" t="e">
        <f>N82-M82</f>
      </c>
      <c r="O84" s="3" t="e">
        <f>O82-N82</f>
      </c>
      <c r="P84" s="3" t="e">
        <f>P82-O82</f>
      </c>
      <c r="Q84" s="3" t="e">
        <f>Q82-P82</f>
      </c>
      <c r="R84" s="3" t="e">
        <f>R82-Q82</f>
      </c>
      <c r="S84" s="3" t="e">
        <f>S82-R82</f>
      </c>
      <c r="T84" s="3" t="e">
        <f>T82-S82</f>
      </c>
      <c r="U84" s="3" t="e">
        <f>U82-T82</f>
      </c>
      <c r="V84" s="3" t="e">
        <f>V82-U82</f>
      </c>
      <c r="W84" s="3" t="e">
        <f>W82-V82</f>
      </c>
      <c r="X84" s="3" t="e">
        <f>X82-W82</f>
      </c>
      <c r="Y84" s="3" t="e">
        <f>Y82-X82</f>
      </c>
      <c r="Z84" s="3" t="e">
        <f>Z82-Y82</f>
      </c>
      <c r="AA84" s="3" t="e">
        <f>AA82-Z82</f>
      </c>
      <c r="AB84" s="3" t="e">
        <f>AB82-AA82</f>
      </c>
      <c r="AC84" s="3" t="e">
        <f>AC82-AB82</f>
      </c>
      <c r="AD84" s="3" t="e">
        <f>AD82-AC82</f>
      </c>
      <c r="AE84" s="3" t="e">
        <f>AE82-AD82</f>
      </c>
      <c r="AF84" s="3" t="e">
        <f>AF82-AE82</f>
      </c>
      <c r="AG84" s="3" t="e">
        <f>AG82-AF82</f>
      </c>
      <c r="AH84" s="3" t="e">
        <f>AH82-AG82</f>
      </c>
      <c r="AI84" s="3" t="e">
        <f>AI82-AH82</f>
      </c>
      <c r="AJ84" s="3" t="e">
        <f>AJ82-AI82</f>
      </c>
      <c r="AK84" s="3" t="e">
        <f>AK82-AJ82</f>
      </c>
      <c r="AL84" s="3" t="e">
        <f>AL82-AK82</f>
      </c>
      <c r="AM84" s="3" t="e">
        <f>AM82-AL82</f>
      </c>
      <c r="AN84" s="3" t="e">
        <f>AN82-AM82</f>
      </c>
      <c r="AO84" s="3" t="e">
        <f>AO82-AN82</f>
      </c>
      <c r="AP84" s="3" t="e">
        <f>AP82-AO82</f>
      </c>
      <c r="AQ84" s="3" t="e">
        <f>AQ82-AP82</f>
      </c>
      <c r="AR84" s="3" t="e">
        <f>AR82-AQ82</f>
      </c>
      <c r="AS84" s="3" t="e">
        <f>AS82-AR82</f>
      </c>
      <c r="AT84" s="3" t="e">
        <f>AT82-AS82</f>
      </c>
      <c r="AU84" s="3" t="e">
        <f>AU82-AT82</f>
      </c>
      <c r="AV84" s="3" t="e">
        <f>AV82-AU82</f>
      </c>
      <c r="AW84" s="3" t="e">
        <f>AW82-AV82</f>
      </c>
      <c r="AX84" s="3" t="e">
        <f>AX82-AW82</f>
      </c>
      <c r="AY84" s="3" t="e">
        <f>AY82-AX82</f>
      </c>
      <c r="AZ84" s="3" t="e">
        <f>AZ82-AY82</f>
      </c>
      <c r="BA84" s="3" t="e">
        <f>BA82-AZ82</f>
      </c>
      <c r="BB84" s="3" t="e">
        <f>BB82-BA82</f>
      </c>
      <c r="BC84" s="3" t="e">
        <f>BC82-BB82</f>
      </c>
      <c r="BD84" s="3" t="e">
        <f>BD82-BC82</f>
      </c>
      <c r="BE84" s="3" t="e">
        <f>BE82-BD82</f>
      </c>
      <c r="BF84" s="3" t="e">
        <f>BF82-BE82</f>
      </c>
      <c r="BG84" s="3" t="e">
        <f>BG82-BF82</f>
      </c>
      <c r="BH84" s="3" t="e">
        <f>BH82-BG82</f>
      </c>
      <c r="BI84" s="3" t="e">
        <f>BI82-BH82</f>
      </c>
      <c r="BJ84" s="3" t="e">
        <f>BJ82-BI82</f>
      </c>
      <c r="BK84" s="3" t="e">
        <f>BK82-BJ82</f>
      </c>
      <c r="BL84" s="3" t="e">
        <f>SUM(D84:O84)</f>
      </c>
      <c r="BM84" s="3" t="e">
        <f>SUM(P84:AA84)</f>
      </c>
      <c r="BN84" s="3" t="e">
        <f>SUM(AB84:AM84)</f>
      </c>
      <c r="BO84" s="3" t="e">
        <f>SUM(AN84:AY84)</f>
      </c>
      <c r="BP84" s="3" t="e">
        <f>SUM(AZ84:BK84)</f>
      </c>
    </row>
    <row r="86">
      <c r="A86" t="str">
        <v>2. Pipeline, clients et revenus</v>
      </c>
    </row>
    <row r="87">
      <c r="A87" t="str">
        <v>Leads marketing</v>
      </c>
      <c r="B87" t="str">
        <v>nb</v>
      </c>
      <c r="D87" s="9" t="e">
        <f>'Hypothèses'!$D$69/'Hypothèses'!$D$53*(1+'Hypothèses'!$D$54)^INT((1-1)/12)</f>
      </c>
      <c r="E87" s="9" t="e">
        <f>'Hypothèses'!$D$69/'Hypothèses'!$D$53*(1+'Hypothèses'!$D$54)^INT((2-1)/12)</f>
      </c>
      <c r="F87" s="9" t="e">
        <f>'Hypothèses'!$D$69/'Hypothèses'!$D$53*(1+'Hypothèses'!$D$54)^INT((3-1)/12)</f>
      </c>
      <c r="G87" s="9" t="e">
        <f>'Hypothèses'!$D$69/'Hypothèses'!$D$53*(1+'Hypothèses'!$D$54)^INT((4-1)/12)</f>
      </c>
      <c r="H87" s="9" t="e">
        <f>'Hypothèses'!$D$69/'Hypothèses'!$D$53*(1+'Hypothèses'!$D$54)^INT((5-1)/12)</f>
      </c>
      <c r="I87" s="9" t="e">
        <f>'Hypothèses'!$D$69/'Hypothèses'!$D$53*(1+'Hypothèses'!$D$54)^INT((6-1)/12)</f>
      </c>
      <c r="J87" s="9" t="e">
        <f>'Hypothèses'!$D$69/'Hypothèses'!$D$53*(1+'Hypothèses'!$D$54)^INT((7-1)/12)</f>
      </c>
      <c r="K87" s="9" t="e">
        <f>'Hypothèses'!$D$69/'Hypothèses'!$D$53*(1+'Hypothèses'!$D$54)^INT((8-1)/12)</f>
      </c>
      <c r="L87" s="9" t="e">
        <f>'Hypothèses'!$D$69/'Hypothèses'!$D$53*(1+'Hypothèses'!$D$54)^INT((9-1)/12)</f>
      </c>
      <c r="M87" s="9" t="e">
        <f>'Hypothèses'!$D$69/'Hypothèses'!$D$53*(1+'Hypothèses'!$D$54)^INT((10-1)/12)</f>
      </c>
      <c r="N87" s="9" t="e">
        <f>'Hypothèses'!$D$69/'Hypothèses'!$D$53*(1+'Hypothèses'!$D$54)^INT((11-1)/12)</f>
      </c>
      <c r="O87" s="9" t="e">
        <f>'Hypothèses'!$D$69/'Hypothèses'!$D$53*(1+'Hypothèses'!$D$54)^INT((12-1)/12)</f>
      </c>
      <c r="P87" s="9" t="e">
        <f>'Hypothèses'!$D$69/'Hypothèses'!$D$53*(1+'Hypothèses'!$D$54)^INT((13-1)/12)</f>
      </c>
      <c r="Q87" s="9" t="e">
        <f>'Hypothèses'!$D$69/'Hypothèses'!$D$53*(1+'Hypothèses'!$D$54)^INT((14-1)/12)</f>
      </c>
      <c r="R87" s="9" t="e">
        <f>'Hypothèses'!$D$69/'Hypothèses'!$D$53*(1+'Hypothèses'!$D$54)^INT((15-1)/12)</f>
      </c>
      <c r="S87" s="9" t="e">
        <f>'Hypothèses'!$D$69/'Hypothèses'!$D$53*(1+'Hypothèses'!$D$54)^INT((16-1)/12)</f>
      </c>
      <c r="T87" s="9" t="e">
        <f>'Hypothèses'!$D$69/'Hypothèses'!$D$53*(1+'Hypothèses'!$D$54)^INT((17-1)/12)</f>
      </c>
      <c r="U87" s="9" t="e">
        <f>'Hypothèses'!$D$69/'Hypothèses'!$D$53*(1+'Hypothèses'!$D$54)^INT((18-1)/12)</f>
      </c>
      <c r="V87" s="9" t="e">
        <f>'Hypothèses'!$D$69/'Hypothèses'!$D$53*(1+'Hypothèses'!$D$54)^INT((19-1)/12)</f>
      </c>
      <c r="W87" s="9" t="e">
        <f>'Hypothèses'!$D$69/'Hypothèses'!$D$53*(1+'Hypothèses'!$D$54)^INT((20-1)/12)</f>
      </c>
      <c r="X87" s="9" t="e">
        <f>'Hypothèses'!$D$69/'Hypothèses'!$D$53*(1+'Hypothèses'!$D$54)^INT((21-1)/12)</f>
      </c>
      <c r="Y87" s="9" t="e">
        <f>'Hypothèses'!$D$69/'Hypothèses'!$D$53*(1+'Hypothèses'!$D$54)^INT((22-1)/12)</f>
      </c>
      <c r="Z87" s="9" t="e">
        <f>'Hypothèses'!$D$69/'Hypothèses'!$D$53*(1+'Hypothèses'!$D$54)^INT((23-1)/12)</f>
      </c>
      <c r="AA87" s="9" t="e">
        <f>'Hypothèses'!$D$69/'Hypothèses'!$D$53*(1+'Hypothèses'!$D$54)^INT((24-1)/12)</f>
      </c>
      <c r="AB87" s="9" t="e">
        <f>'Hypothèses'!$D$69/'Hypothèses'!$D$53*(1+'Hypothèses'!$D$54)^INT((25-1)/12)</f>
      </c>
      <c r="AC87" s="9" t="e">
        <f>'Hypothèses'!$D$69/'Hypothèses'!$D$53*(1+'Hypothèses'!$D$54)^INT((26-1)/12)</f>
      </c>
      <c r="AD87" s="9" t="e">
        <f>'Hypothèses'!$D$69/'Hypothèses'!$D$53*(1+'Hypothèses'!$D$54)^INT((27-1)/12)</f>
      </c>
      <c r="AE87" s="9" t="e">
        <f>'Hypothèses'!$D$69/'Hypothèses'!$D$53*(1+'Hypothèses'!$D$54)^INT((28-1)/12)</f>
      </c>
      <c r="AF87" s="9" t="e">
        <f>'Hypothèses'!$D$69/'Hypothèses'!$D$53*(1+'Hypothèses'!$D$54)^INT((29-1)/12)</f>
      </c>
      <c r="AG87" s="9" t="e">
        <f>'Hypothèses'!$D$69/'Hypothèses'!$D$53*(1+'Hypothèses'!$D$54)^INT((30-1)/12)</f>
      </c>
      <c r="AH87" s="9" t="e">
        <f>'Hypothèses'!$D$69/'Hypothèses'!$D$53*(1+'Hypothèses'!$D$54)^INT((31-1)/12)</f>
      </c>
      <c r="AI87" s="9" t="e">
        <f>'Hypothèses'!$D$69/'Hypothèses'!$D$53*(1+'Hypothèses'!$D$54)^INT((32-1)/12)</f>
      </c>
      <c r="AJ87" s="9" t="e">
        <f>'Hypothèses'!$D$69/'Hypothèses'!$D$53*(1+'Hypothèses'!$D$54)^INT((33-1)/12)</f>
      </c>
      <c r="AK87" s="9" t="e">
        <f>'Hypothèses'!$D$69/'Hypothèses'!$D$53*(1+'Hypothèses'!$D$54)^INT((34-1)/12)</f>
      </c>
      <c r="AL87" s="9" t="e">
        <f>'Hypothèses'!$D$69/'Hypothèses'!$D$53*(1+'Hypothèses'!$D$54)^INT((35-1)/12)</f>
      </c>
      <c r="AM87" s="9" t="e">
        <f>'Hypothèses'!$D$69/'Hypothèses'!$D$53*(1+'Hypothèses'!$D$54)^INT((36-1)/12)</f>
      </c>
      <c r="AN87" s="9" t="e">
        <f>'Hypothèses'!$D$69/'Hypothèses'!$D$53*(1+'Hypothèses'!$D$54)^INT((37-1)/12)</f>
      </c>
      <c r="AO87" s="9" t="e">
        <f>'Hypothèses'!$D$69/'Hypothèses'!$D$53*(1+'Hypothèses'!$D$54)^INT((38-1)/12)</f>
      </c>
      <c r="AP87" s="9" t="e">
        <f>'Hypothèses'!$D$69/'Hypothèses'!$D$53*(1+'Hypothèses'!$D$54)^INT((39-1)/12)</f>
      </c>
      <c r="AQ87" s="9" t="e">
        <f>'Hypothèses'!$D$69/'Hypothèses'!$D$53*(1+'Hypothèses'!$D$54)^INT((40-1)/12)</f>
      </c>
      <c r="AR87" s="9" t="e">
        <f>'Hypothèses'!$D$69/'Hypothèses'!$D$53*(1+'Hypothèses'!$D$54)^INT((41-1)/12)</f>
      </c>
      <c r="AS87" s="9" t="e">
        <f>'Hypothèses'!$D$69/'Hypothèses'!$D$53*(1+'Hypothèses'!$D$54)^INT((42-1)/12)</f>
      </c>
      <c r="AT87" s="9" t="e">
        <f>'Hypothèses'!$D$69/'Hypothèses'!$D$53*(1+'Hypothèses'!$D$54)^INT((43-1)/12)</f>
      </c>
      <c r="AU87" s="9" t="e">
        <f>'Hypothèses'!$D$69/'Hypothèses'!$D$53*(1+'Hypothèses'!$D$54)^INT((44-1)/12)</f>
      </c>
      <c r="AV87" s="9" t="e">
        <f>'Hypothèses'!$D$69/'Hypothèses'!$D$53*(1+'Hypothèses'!$D$54)^INT((45-1)/12)</f>
      </c>
      <c r="AW87" s="9" t="e">
        <f>'Hypothèses'!$D$69/'Hypothèses'!$D$53*(1+'Hypothèses'!$D$54)^INT((46-1)/12)</f>
      </c>
      <c r="AX87" s="9" t="e">
        <f>'Hypothèses'!$D$69/'Hypothèses'!$D$53*(1+'Hypothèses'!$D$54)^INT((47-1)/12)</f>
      </c>
      <c r="AY87" s="9" t="e">
        <f>'Hypothèses'!$D$69/'Hypothèses'!$D$53*(1+'Hypothèses'!$D$54)^INT((48-1)/12)</f>
      </c>
      <c r="AZ87" s="9" t="e">
        <f>'Hypothèses'!$D$69/'Hypothèses'!$D$53*(1+'Hypothèses'!$D$54)^INT((49-1)/12)</f>
      </c>
      <c r="BA87" s="9" t="e">
        <f>'Hypothèses'!$D$69/'Hypothèses'!$D$53*(1+'Hypothèses'!$D$54)^INT((50-1)/12)</f>
      </c>
      <c r="BB87" s="9" t="e">
        <f>'Hypothèses'!$D$69/'Hypothèses'!$D$53*(1+'Hypothèses'!$D$54)^INT((51-1)/12)</f>
      </c>
      <c r="BC87" s="9" t="e">
        <f>'Hypothèses'!$D$69/'Hypothèses'!$D$53*(1+'Hypothèses'!$D$54)^INT((52-1)/12)</f>
      </c>
      <c r="BD87" s="9" t="e">
        <f>'Hypothèses'!$D$69/'Hypothèses'!$D$53*(1+'Hypothèses'!$D$54)^INT((53-1)/12)</f>
      </c>
      <c r="BE87" s="9" t="e">
        <f>'Hypothèses'!$D$69/'Hypothèses'!$D$53*(1+'Hypothèses'!$D$54)^INT((54-1)/12)</f>
      </c>
      <c r="BF87" s="9" t="e">
        <f>'Hypothèses'!$D$69/'Hypothèses'!$D$53*(1+'Hypothèses'!$D$54)^INT((55-1)/12)</f>
      </c>
      <c r="BG87" s="9" t="e">
        <f>'Hypothèses'!$D$69/'Hypothèses'!$D$53*(1+'Hypothèses'!$D$54)^INT((56-1)/12)</f>
      </c>
      <c r="BH87" s="9" t="e">
        <f>'Hypothèses'!$D$69/'Hypothèses'!$D$53*(1+'Hypothèses'!$D$54)^INT((57-1)/12)</f>
      </c>
      <c r="BI87" s="9" t="e">
        <f>'Hypothèses'!$D$69/'Hypothèses'!$D$53*(1+'Hypothèses'!$D$54)^INT((58-1)/12)</f>
      </c>
      <c r="BJ87" s="9" t="e">
        <f>'Hypothèses'!$D$69/'Hypothèses'!$D$53*(1+'Hypothèses'!$D$54)^INT((59-1)/12)</f>
      </c>
      <c r="BK87" s="9" t="e">
        <f>'Hypothèses'!$D$69/'Hypothèses'!$D$53*(1+'Hypothèses'!$D$54)^INT((60-1)/12)</f>
      </c>
      <c r="BL87" s="9" t="e">
        <f>SUM(D87:O87)</f>
      </c>
      <c r="BM87" s="9" t="e">
        <f>SUM(P87:AA87)</f>
      </c>
      <c r="BN87" s="9" t="e">
        <f>SUM(AB87:AM87)</f>
      </c>
      <c r="BO87" s="9" t="e">
        <f>SUM(AN87:AY87)</f>
      </c>
      <c r="BP87" s="9" t="e">
        <f>SUM(AZ87:BK87)</f>
      </c>
    </row>
    <row r="88">
      <c r="A88" t="str">
        <v>Rendez-vous qualifiés</v>
      </c>
      <c r="B88" t="str">
        <v>nb</v>
      </c>
      <c r="D88" s="8" t="e">
        <f>D87*'Hypothèses'!$D$55</f>
      </c>
      <c r="E88" s="8" t="e">
        <f>E87*'Hypothèses'!$D$55</f>
      </c>
      <c r="F88" s="8" t="e">
        <f>F87*'Hypothèses'!$D$55</f>
      </c>
      <c r="G88" s="8" t="e">
        <f>G87*'Hypothèses'!$D$55</f>
      </c>
      <c r="H88" s="8" t="e">
        <f>H87*'Hypothèses'!$D$55</f>
      </c>
      <c r="I88" s="8" t="e">
        <f>I87*'Hypothèses'!$D$55</f>
      </c>
      <c r="J88" s="8" t="e">
        <f>J87*'Hypothèses'!$D$55</f>
      </c>
      <c r="K88" s="8" t="e">
        <f>K87*'Hypothèses'!$D$55</f>
      </c>
      <c r="L88" s="8" t="e">
        <f>L87*'Hypothèses'!$D$55</f>
      </c>
      <c r="M88" s="8" t="e">
        <f>M87*'Hypothèses'!$D$55</f>
      </c>
      <c r="N88" s="8" t="e">
        <f>N87*'Hypothèses'!$D$55</f>
      </c>
      <c r="O88" s="8" t="e">
        <f>O87*'Hypothèses'!$D$55</f>
      </c>
      <c r="P88" s="8" t="e">
        <f>P87*'Hypothèses'!$D$55</f>
      </c>
      <c r="Q88" s="8" t="e">
        <f>Q87*'Hypothèses'!$D$55</f>
      </c>
      <c r="R88" s="8" t="e">
        <f>R87*'Hypothèses'!$D$55</f>
      </c>
      <c r="S88" s="8" t="e">
        <f>S87*'Hypothèses'!$D$55</f>
      </c>
      <c r="T88" s="8" t="e">
        <f>T87*'Hypothèses'!$D$55</f>
      </c>
      <c r="U88" s="8" t="e">
        <f>U87*'Hypothèses'!$D$55</f>
      </c>
      <c r="V88" s="8" t="e">
        <f>V87*'Hypothèses'!$D$55</f>
      </c>
      <c r="W88" s="8" t="e">
        <f>W87*'Hypothèses'!$D$55</f>
      </c>
      <c r="X88" s="8" t="e">
        <f>X87*'Hypothèses'!$D$55</f>
      </c>
      <c r="Y88" s="8" t="e">
        <f>Y87*'Hypothèses'!$D$55</f>
      </c>
      <c r="Z88" s="8" t="e">
        <f>Z87*'Hypothèses'!$D$55</f>
      </c>
      <c r="AA88" s="8" t="e">
        <f>AA87*'Hypothèses'!$D$55</f>
      </c>
      <c r="AB88" s="8" t="e">
        <f>AB87*'Hypothèses'!$D$55</f>
      </c>
      <c r="AC88" s="8" t="e">
        <f>AC87*'Hypothèses'!$D$55</f>
      </c>
      <c r="AD88" s="8" t="e">
        <f>AD87*'Hypothèses'!$D$55</f>
      </c>
      <c r="AE88" s="8" t="e">
        <f>AE87*'Hypothèses'!$D$55</f>
      </c>
      <c r="AF88" s="8" t="e">
        <f>AF87*'Hypothèses'!$D$55</f>
      </c>
      <c r="AG88" s="8" t="e">
        <f>AG87*'Hypothèses'!$D$55</f>
      </c>
      <c r="AH88" s="8" t="e">
        <f>AH87*'Hypothèses'!$D$55</f>
      </c>
      <c r="AI88" s="8" t="e">
        <f>AI87*'Hypothèses'!$D$55</f>
      </c>
      <c r="AJ88" s="8" t="e">
        <f>AJ87*'Hypothèses'!$D$55</f>
      </c>
      <c r="AK88" s="8" t="e">
        <f>AK87*'Hypothèses'!$D$55</f>
      </c>
      <c r="AL88" s="8" t="e">
        <f>AL87*'Hypothèses'!$D$55</f>
      </c>
      <c r="AM88" s="8" t="e">
        <f>AM87*'Hypothèses'!$D$55</f>
      </c>
      <c r="AN88" s="8" t="e">
        <f>AN87*'Hypothèses'!$D$55</f>
      </c>
      <c r="AO88" s="8" t="e">
        <f>AO87*'Hypothèses'!$D$55</f>
      </c>
      <c r="AP88" s="8" t="e">
        <f>AP87*'Hypothèses'!$D$55</f>
      </c>
      <c r="AQ88" s="8" t="e">
        <f>AQ87*'Hypothèses'!$D$55</f>
      </c>
      <c r="AR88" s="8" t="e">
        <f>AR87*'Hypothèses'!$D$55</f>
      </c>
      <c r="AS88" s="8" t="e">
        <f>AS87*'Hypothèses'!$D$55</f>
      </c>
      <c r="AT88" s="8" t="e">
        <f>AT87*'Hypothèses'!$D$55</f>
      </c>
      <c r="AU88" s="8" t="e">
        <f>AU87*'Hypothèses'!$D$55</f>
      </c>
      <c r="AV88" s="8" t="e">
        <f>AV87*'Hypothèses'!$D$55</f>
      </c>
      <c r="AW88" s="8" t="e">
        <f>AW87*'Hypothèses'!$D$55</f>
      </c>
      <c r="AX88" s="8" t="e">
        <f>AX87*'Hypothèses'!$D$55</f>
      </c>
      <c r="AY88" s="8" t="e">
        <f>AY87*'Hypothèses'!$D$55</f>
      </c>
      <c r="AZ88" s="8" t="e">
        <f>AZ87*'Hypothèses'!$D$55</f>
      </c>
      <c r="BA88" s="8" t="e">
        <f>BA87*'Hypothèses'!$D$55</f>
      </c>
      <c r="BB88" s="8" t="e">
        <f>BB87*'Hypothèses'!$D$55</f>
      </c>
      <c r="BC88" s="8" t="e">
        <f>BC87*'Hypothèses'!$D$55</f>
      </c>
      <c r="BD88" s="8" t="e">
        <f>BD87*'Hypothèses'!$D$55</f>
      </c>
      <c r="BE88" s="8" t="e">
        <f>BE87*'Hypothèses'!$D$55</f>
      </c>
      <c r="BF88" s="8" t="e">
        <f>BF87*'Hypothèses'!$D$55</f>
      </c>
      <c r="BG88" s="8" t="e">
        <f>BG87*'Hypothèses'!$D$55</f>
      </c>
      <c r="BH88" s="8" t="e">
        <f>BH87*'Hypothèses'!$D$55</f>
      </c>
      <c r="BI88" s="8" t="e">
        <f>BI87*'Hypothèses'!$D$55</f>
      </c>
      <c r="BJ88" s="8" t="e">
        <f>BJ87*'Hypothèses'!$D$55</f>
      </c>
      <c r="BK88" s="8" t="e">
        <f>BK87*'Hypothèses'!$D$55</f>
      </c>
      <c r="BL88" s="8" t="e">
        <f>SUM(D88:O88)</f>
      </c>
      <c r="BM88" s="8" t="e">
        <f>SUM(P88:AA88)</f>
      </c>
      <c r="BN88" s="8" t="e">
        <f>SUM(AB88:AM88)</f>
      </c>
      <c r="BO88" s="8" t="e">
        <f>SUM(AN88:AY88)</f>
      </c>
      <c r="BP88" s="8" t="e">
        <f>SUM(AZ88:BK88)</f>
      </c>
    </row>
    <row r="89">
      <c r="A89" t="str">
        <v>Opportunités suivies</v>
      </c>
      <c r="B89" t="str">
        <v>nb</v>
      </c>
      <c r="D89" s="8" t="e">
        <f>MIN(D88,D83*'Hypothèses'!$D$56)</f>
      </c>
      <c r="E89" s="8" t="e">
        <f>MIN(E88,E83*'Hypothèses'!$D$56)</f>
      </c>
      <c r="F89" s="8" t="e">
        <f>MIN(F88,F83*'Hypothèses'!$D$56)</f>
      </c>
      <c r="G89" s="8" t="e">
        <f>MIN(G88,G83*'Hypothèses'!$D$56)</f>
      </c>
      <c r="H89" s="8" t="e">
        <f>MIN(H88,H83*'Hypothèses'!$D$56)</f>
      </c>
      <c r="I89" s="8" t="e">
        <f>MIN(I88,I83*'Hypothèses'!$D$56)</f>
      </c>
      <c r="J89" s="8" t="e">
        <f>MIN(J88,J83*'Hypothèses'!$D$56)</f>
      </c>
      <c r="K89" s="8" t="e">
        <f>MIN(K88,K83*'Hypothèses'!$D$56)</f>
      </c>
      <c r="L89" s="8" t="e">
        <f>MIN(L88,L83*'Hypothèses'!$D$56)</f>
      </c>
      <c r="M89" s="8" t="e">
        <f>MIN(M88,M83*'Hypothèses'!$D$56)</f>
      </c>
      <c r="N89" s="8" t="e">
        <f>MIN(N88,N83*'Hypothèses'!$D$56)</f>
      </c>
      <c r="O89" s="8" t="e">
        <f>MIN(O88,O83*'Hypothèses'!$D$56)</f>
      </c>
      <c r="P89" s="8" t="e">
        <f>MIN(P88,P83*'Hypothèses'!$D$56)</f>
      </c>
      <c r="Q89" s="8" t="e">
        <f>MIN(Q88,Q83*'Hypothèses'!$D$56)</f>
      </c>
      <c r="R89" s="8" t="e">
        <f>MIN(R88,R83*'Hypothèses'!$D$56)</f>
      </c>
      <c r="S89" s="8" t="e">
        <f>MIN(S88,S83*'Hypothèses'!$D$56)</f>
      </c>
      <c r="T89" s="8" t="e">
        <f>MIN(T88,T83*'Hypothèses'!$D$56)</f>
      </c>
      <c r="U89" s="8" t="e">
        <f>MIN(U88,U83*'Hypothèses'!$D$56)</f>
      </c>
      <c r="V89" s="8" t="e">
        <f>MIN(V88,V83*'Hypothèses'!$D$56)</f>
      </c>
      <c r="W89" s="8" t="e">
        <f>MIN(W88,W83*'Hypothèses'!$D$56)</f>
      </c>
      <c r="X89" s="8" t="e">
        <f>MIN(X88,X83*'Hypothèses'!$D$56)</f>
      </c>
      <c r="Y89" s="8" t="e">
        <f>MIN(Y88,Y83*'Hypothèses'!$D$56)</f>
      </c>
      <c r="Z89" s="8" t="e">
        <f>MIN(Z88,Z83*'Hypothèses'!$D$56)</f>
      </c>
      <c r="AA89" s="8" t="e">
        <f>MIN(AA88,AA83*'Hypothèses'!$D$56)</f>
      </c>
      <c r="AB89" s="8" t="e">
        <f>MIN(AB88,AB83*'Hypothèses'!$D$56)</f>
      </c>
      <c r="AC89" s="8" t="e">
        <f>MIN(AC88,AC83*'Hypothèses'!$D$56)</f>
      </c>
      <c r="AD89" s="8" t="e">
        <f>MIN(AD88,AD83*'Hypothèses'!$D$56)</f>
      </c>
      <c r="AE89" s="8" t="e">
        <f>MIN(AE88,AE83*'Hypothèses'!$D$56)</f>
      </c>
      <c r="AF89" s="8" t="e">
        <f>MIN(AF88,AF83*'Hypothèses'!$D$56)</f>
      </c>
      <c r="AG89" s="8" t="e">
        <f>MIN(AG88,AG83*'Hypothèses'!$D$56)</f>
      </c>
      <c r="AH89" s="8" t="e">
        <f>MIN(AH88,AH83*'Hypothèses'!$D$56)</f>
      </c>
      <c r="AI89" s="8" t="e">
        <f>MIN(AI88,AI83*'Hypothèses'!$D$56)</f>
      </c>
      <c r="AJ89" s="8" t="e">
        <f>MIN(AJ88,AJ83*'Hypothèses'!$D$56)</f>
      </c>
      <c r="AK89" s="8" t="e">
        <f>MIN(AK88,AK83*'Hypothèses'!$D$56)</f>
      </c>
      <c r="AL89" s="8" t="e">
        <f>MIN(AL88,AL83*'Hypothèses'!$D$56)</f>
      </c>
      <c r="AM89" s="8" t="e">
        <f>MIN(AM88,AM83*'Hypothèses'!$D$56)</f>
      </c>
      <c r="AN89" s="8" t="e">
        <f>MIN(AN88,AN83*'Hypothèses'!$D$56)</f>
      </c>
      <c r="AO89" s="8" t="e">
        <f>MIN(AO88,AO83*'Hypothèses'!$D$56)</f>
      </c>
      <c r="AP89" s="8" t="e">
        <f>MIN(AP88,AP83*'Hypothèses'!$D$56)</f>
      </c>
      <c r="AQ89" s="8" t="e">
        <f>MIN(AQ88,AQ83*'Hypothèses'!$D$56)</f>
      </c>
      <c r="AR89" s="8" t="e">
        <f>MIN(AR88,AR83*'Hypothèses'!$D$56)</f>
      </c>
      <c r="AS89" s="8" t="e">
        <f>MIN(AS88,AS83*'Hypothèses'!$D$56)</f>
      </c>
      <c r="AT89" s="8" t="e">
        <f>MIN(AT88,AT83*'Hypothèses'!$D$56)</f>
      </c>
      <c r="AU89" s="8" t="e">
        <f>MIN(AU88,AU83*'Hypothèses'!$D$56)</f>
      </c>
      <c r="AV89" s="8" t="e">
        <f>MIN(AV88,AV83*'Hypothèses'!$D$56)</f>
      </c>
      <c r="AW89" s="8" t="e">
        <f>MIN(AW88,AW83*'Hypothèses'!$D$56)</f>
      </c>
      <c r="AX89" s="8" t="e">
        <f>MIN(AX88,AX83*'Hypothèses'!$D$56)</f>
      </c>
      <c r="AY89" s="8" t="e">
        <f>MIN(AY88,AY83*'Hypothèses'!$D$56)</f>
      </c>
      <c r="AZ89" s="8" t="e">
        <f>MIN(AZ88,AZ83*'Hypothèses'!$D$56)</f>
      </c>
      <c r="BA89" s="8" t="e">
        <f>MIN(BA88,BA83*'Hypothèses'!$D$56)</f>
      </c>
      <c r="BB89" s="8" t="e">
        <f>MIN(BB88,BB83*'Hypothèses'!$D$56)</f>
      </c>
      <c r="BC89" s="8" t="e">
        <f>MIN(BC88,BC83*'Hypothèses'!$D$56)</f>
      </c>
      <c r="BD89" s="8" t="e">
        <f>MIN(BD88,BD83*'Hypothèses'!$D$56)</f>
      </c>
      <c r="BE89" s="8" t="e">
        <f>MIN(BE88,BE83*'Hypothèses'!$D$56)</f>
      </c>
      <c r="BF89" s="8" t="e">
        <f>MIN(BF88,BF83*'Hypothèses'!$D$56)</f>
      </c>
      <c r="BG89" s="8" t="e">
        <f>MIN(BG88,BG83*'Hypothèses'!$D$56)</f>
      </c>
      <c r="BH89" s="8" t="e">
        <f>MIN(BH88,BH83*'Hypothèses'!$D$56)</f>
      </c>
      <c r="BI89" s="8" t="e">
        <f>MIN(BI88,BI83*'Hypothèses'!$D$56)</f>
      </c>
      <c r="BJ89" s="8" t="e">
        <f>MIN(BJ88,BJ83*'Hypothèses'!$D$56)</f>
      </c>
      <c r="BK89" s="8" t="e">
        <f>MIN(BK88,BK83*'Hypothèses'!$D$56)</f>
      </c>
      <c r="BL89" s="8" t="e">
        <f>SUM(D89:O89)</f>
      </c>
      <c r="BM89" s="8" t="e">
        <f>SUM(P89:AA89)</f>
      </c>
      <c r="BN89" s="8" t="e">
        <f>SUM(AB89:AM89)</f>
      </c>
      <c r="BO89" s="8" t="e">
        <f>SUM(AN89:AY89)</f>
      </c>
      <c r="BP89" s="8" t="e">
        <f>SUM(AZ89:BK89)</f>
      </c>
    </row>
    <row r="90">
      <c r="A90" t="str">
        <v>Canal partenaires — montée en charge</v>
      </c>
      <c r="B90" t="str">
        <v>%</v>
      </c>
      <c r="D90" s="2" t="e">
        <f>IF(AND('Hypothèses'!$D$57=1,1&gt;='Hypothèses'!$D$58),MIN(1,(1-'Hypothèses'!$D$58+1)/'Hypothèses'!$D$59),0)</f>
      </c>
      <c r="E90" s="2" t="e">
        <f>IF(AND('Hypothèses'!$D$57=1,2&gt;='Hypothèses'!$D$58),MIN(1,(2-'Hypothèses'!$D$58+1)/'Hypothèses'!$D$59),0)</f>
      </c>
      <c r="F90" s="2" t="e">
        <f>IF(AND('Hypothèses'!$D$57=1,3&gt;='Hypothèses'!$D$58),MIN(1,(3-'Hypothèses'!$D$58+1)/'Hypothèses'!$D$59),0)</f>
      </c>
      <c r="G90" s="2" t="e">
        <f>IF(AND('Hypothèses'!$D$57=1,4&gt;='Hypothèses'!$D$58),MIN(1,(4-'Hypothèses'!$D$58+1)/'Hypothèses'!$D$59),0)</f>
      </c>
      <c r="H90" s="2" t="e">
        <f>IF(AND('Hypothèses'!$D$57=1,5&gt;='Hypothèses'!$D$58),MIN(1,(5-'Hypothèses'!$D$58+1)/'Hypothèses'!$D$59),0)</f>
      </c>
      <c r="I90" s="2" t="e">
        <f>IF(AND('Hypothèses'!$D$57=1,6&gt;='Hypothèses'!$D$58),MIN(1,(6-'Hypothèses'!$D$58+1)/'Hypothèses'!$D$59),0)</f>
      </c>
      <c r="J90" s="2" t="e">
        <f>IF(AND('Hypothèses'!$D$57=1,7&gt;='Hypothèses'!$D$58),MIN(1,(7-'Hypothèses'!$D$58+1)/'Hypothèses'!$D$59),0)</f>
      </c>
      <c r="K90" s="2" t="e">
        <f>IF(AND('Hypothèses'!$D$57=1,8&gt;='Hypothèses'!$D$58),MIN(1,(8-'Hypothèses'!$D$58+1)/'Hypothèses'!$D$59),0)</f>
      </c>
      <c r="L90" s="2" t="e">
        <f>IF(AND('Hypothèses'!$D$57=1,9&gt;='Hypothèses'!$D$58),MIN(1,(9-'Hypothèses'!$D$58+1)/'Hypothèses'!$D$59),0)</f>
      </c>
      <c r="M90" s="2" t="e">
        <f>IF(AND('Hypothèses'!$D$57=1,10&gt;='Hypothèses'!$D$58),MIN(1,(10-'Hypothèses'!$D$58+1)/'Hypothèses'!$D$59),0)</f>
      </c>
      <c r="N90" s="2" t="e">
        <f>IF(AND('Hypothèses'!$D$57=1,11&gt;='Hypothèses'!$D$58),MIN(1,(11-'Hypothèses'!$D$58+1)/'Hypothèses'!$D$59),0)</f>
      </c>
      <c r="O90" s="2" t="e">
        <f>IF(AND('Hypothèses'!$D$57=1,12&gt;='Hypothèses'!$D$58),MIN(1,(12-'Hypothèses'!$D$58+1)/'Hypothèses'!$D$59),0)</f>
      </c>
      <c r="P90" s="2" t="e">
        <f>IF(AND('Hypothèses'!$D$57=1,13&gt;='Hypothèses'!$D$58),MIN(1,(13-'Hypothèses'!$D$58+1)/'Hypothèses'!$D$59),0)</f>
      </c>
      <c r="Q90" s="2" t="e">
        <f>IF(AND('Hypothèses'!$D$57=1,14&gt;='Hypothèses'!$D$58),MIN(1,(14-'Hypothèses'!$D$58+1)/'Hypothèses'!$D$59),0)</f>
      </c>
      <c r="R90" s="2" t="e">
        <f>IF(AND('Hypothèses'!$D$57=1,15&gt;='Hypothèses'!$D$58),MIN(1,(15-'Hypothèses'!$D$58+1)/'Hypothèses'!$D$59),0)</f>
      </c>
      <c r="S90" s="2" t="e">
        <f>IF(AND('Hypothèses'!$D$57=1,16&gt;='Hypothèses'!$D$58),MIN(1,(16-'Hypothèses'!$D$58+1)/'Hypothèses'!$D$59),0)</f>
      </c>
      <c r="T90" s="2" t="e">
        <f>IF(AND('Hypothèses'!$D$57=1,17&gt;='Hypothèses'!$D$58),MIN(1,(17-'Hypothèses'!$D$58+1)/'Hypothèses'!$D$59),0)</f>
      </c>
      <c r="U90" s="2" t="e">
        <f>IF(AND('Hypothèses'!$D$57=1,18&gt;='Hypothèses'!$D$58),MIN(1,(18-'Hypothèses'!$D$58+1)/'Hypothèses'!$D$59),0)</f>
      </c>
      <c r="V90" s="2" t="e">
        <f>IF(AND('Hypothèses'!$D$57=1,19&gt;='Hypothèses'!$D$58),MIN(1,(19-'Hypothèses'!$D$58+1)/'Hypothèses'!$D$59),0)</f>
      </c>
      <c r="W90" s="2" t="e">
        <f>IF(AND('Hypothèses'!$D$57=1,20&gt;='Hypothèses'!$D$58),MIN(1,(20-'Hypothèses'!$D$58+1)/'Hypothèses'!$D$59),0)</f>
      </c>
      <c r="X90" s="2" t="e">
        <f>IF(AND('Hypothèses'!$D$57=1,21&gt;='Hypothèses'!$D$58),MIN(1,(21-'Hypothèses'!$D$58+1)/'Hypothèses'!$D$59),0)</f>
      </c>
      <c r="Y90" s="2" t="e">
        <f>IF(AND('Hypothèses'!$D$57=1,22&gt;='Hypothèses'!$D$58),MIN(1,(22-'Hypothèses'!$D$58+1)/'Hypothèses'!$D$59),0)</f>
      </c>
      <c r="Z90" s="2" t="e">
        <f>IF(AND('Hypothèses'!$D$57=1,23&gt;='Hypothèses'!$D$58),MIN(1,(23-'Hypothèses'!$D$58+1)/'Hypothèses'!$D$59),0)</f>
      </c>
      <c r="AA90" s="2" t="e">
        <f>IF(AND('Hypothèses'!$D$57=1,24&gt;='Hypothèses'!$D$58),MIN(1,(24-'Hypothèses'!$D$58+1)/'Hypothèses'!$D$59),0)</f>
      </c>
      <c r="AB90" s="2" t="e">
        <f>IF(AND('Hypothèses'!$D$57=1,25&gt;='Hypothèses'!$D$58),MIN(1,(25-'Hypothèses'!$D$58+1)/'Hypothèses'!$D$59),0)</f>
      </c>
      <c r="AC90" s="2" t="e">
        <f>IF(AND('Hypothèses'!$D$57=1,26&gt;='Hypothèses'!$D$58),MIN(1,(26-'Hypothèses'!$D$58+1)/'Hypothèses'!$D$59),0)</f>
      </c>
      <c r="AD90" s="2" t="e">
        <f>IF(AND('Hypothèses'!$D$57=1,27&gt;='Hypothèses'!$D$58),MIN(1,(27-'Hypothèses'!$D$58+1)/'Hypothèses'!$D$59),0)</f>
      </c>
      <c r="AE90" s="2" t="e">
        <f>IF(AND('Hypothèses'!$D$57=1,28&gt;='Hypothèses'!$D$58),MIN(1,(28-'Hypothèses'!$D$58+1)/'Hypothèses'!$D$59),0)</f>
      </c>
      <c r="AF90" s="2" t="e">
        <f>IF(AND('Hypothèses'!$D$57=1,29&gt;='Hypothèses'!$D$58),MIN(1,(29-'Hypothèses'!$D$58+1)/'Hypothèses'!$D$59),0)</f>
      </c>
      <c r="AG90" s="2" t="e">
        <f>IF(AND('Hypothèses'!$D$57=1,30&gt;='Hypothèses'!$D$58),MIN(1,(30-'Hypothèses'!$D$58+1)/'Hypothèses'!$D$59),0)</f>
      </c>
      <c r="AH90" s="2" t="e">
        <f>IF(AND('Hypothèses'!$D$57=1,31&gt;='Hypothèses'!$D$58),MIN(1,(31-'Hypothèses'!$D$58+1)/'Hypothèses'!$D$59),0)</f>
      </c>
      <c r="AI90" s="2" t="e">
        <f>IF(AND('Hypothèses'!$D$57=1,32&gt;='Hypothèses'!$D$58),MIN(1,(32-'Hypothèses'!$D$58+1)/'Hypothèses'!$D$59),0)</f>
      </c>
      <c r="AJ90" s="2" t="e">
        <f>IF(AND('Hypothèses'!$D$57=1,33&gt;='Hypothèses'!$D$58),MIN(1,(33-'Hypothèses'!$D$58+1)/'Hypothèses'!$D$59),0)</f>
      </c>
      <c r="AK90" s="2" t="e">
        <f>IF(AND('Hypothèses'!$D$57=1,34&gt;='Hypothèses'!$D$58),MIN(1,(34-'Hypothèses'!$D$58+1)/'Hypothèses'!$D$59),0)</f>
      </c>
      <c r="AL90" s="2" t="e">
        <f>IF(AND('Hypothèses'!$D$57=1,35&gt;='Hypothèses'!$D$58),MIN(1,(35-'Hypothèses'!$D$58+1)/'Hypothèses'!$D$59),0)</f>
      </c>
      <c r="AM90" s="2" t="e">
        <f>IF(AND('Hypothèses'!$D$57=1,36&gt;='Hypothèses'!$D$58),MIN(1,(36-'Hypothèses'!$D$58+1)/'Hypothèses'!$D$59),0)</f>
      </c>
      <c r="AN90" s="2" t="e">
        <f>IF(AND('Hypothèses'!$D$57=1,37&gt;='Hypothèses'!$D$58),MIN(1,(37-'Hypothèses'!$D$58+1)/'Hypothèses'!$D$59),0)</f>
      </c>
      <c r="AO90" s="2" t="e">
        <f>IF(AND('Hypothèses'!$D$57=1,38&gt;='Hypothèses'!$D$58),MIN(1,(38-'Hypothèses'!$D$58+1)/'Hypothèses'!$D$59),0)</f>
      </c>
      <c r="AP90" s="2" t="e">
        <f>IF(AND('Hypothèses'!$D$57=1,39&gt;='Hypothèses'!$D$58),MIN(1,(39-'Hypothèses'!$D$58+1)/'Hypothèses'!$D$59),0)</f>
      </c>
      <c r="AQ90" s="2" t="e">
        <f>IF(AND('Hypothèses'!$D$57=1,40&gt;='Hypothèses'!$D$58),MIN(1,(40-'Hypothèses'!$D$58+1)/'Hypothèses'!$D$59),0)</f>
      </c>
      <c r="AR90" s="2" t="e">
        <f>IF(AND('Hypothèses'!$D$57=1,41&gt;='Hypothèses'!$D$58),MIN(1,(41-'Hypothèses'!$D$58+1)/'Hypothèses'!$D$59),0)</f>
      </c>
      <c r="AS90" s="2" t="e">
        <f>IF(AND('Hypothèses'!$D$57=1,42&gt;='Hypothèses'!$D$58),MIN(1,(42-'Hypothèses'!$D$58+1)/'Hypothèses'!$D$59),0)</f>
      </c>
      <c r="AT90" s="2" t="e">
        <f>IF(AND('Hypothèses'!$D$57=1,43&gt;='Hypothèses'!$D$58),MIN(1,(43-'Hypothèses'!$D$58+1)/'Hypothèses'!$D$59),0)</f>
      </c>
      <c r="AU90" s="2" t="e">
        <f>IF(AND('Hypothèses'!$D$57=1,44&gt;='Hypothèses'!$D$58),MIN(1,(44-'Hypothèses'!$D$58+1)/'Hypothèses'!$D$59),0)</f>
      </c>
      <c r="AV90" s="2" t="e">
        <f>IF(AND('Hypothèses'!$D$57=1,45&gt;='Hypothèses'!$D$58),MIN(1,(45-'Hypothèses'!$D$58+1)/'Hypothèses'!$D$59),0)</f>
      </c>
      <c r="AW90" s="2" t="e">
        <f>IF(AND('Hypothèses'!$D$57=1,46&gt;='Hypothèses'!$D$58),MIN(1,(46-'Hypothèses'!$D$58+1)/'Hypothèses'!$D$59),0)</f>
      </c>
      <c r="AX90" s="2" t="e">
        <f>IF(AND('Hypothèses'!$D$57=1,47&gt;='Hypothèses'!$D$58),MIN(1,(47-'Hypothèses'!$D$58+1)/'Hypothèses'!$D$59),0)</f>
      </c>
      <c r="AY90" s="2" t="e">
        <f>IF(AND('Hypothèses'!$D$57=1,48&gt;='Hypothèses'!$D$58),MIN(1,(48-'Hypothèses'!$D$58+1)/'Hypothèses'!$D$59),0)</f>
      </c>
      <c r="AZ90" s="2" t="e">
        <f>IF(AND('Hypothèses'!$D$57=1,49&gt;='Hypothèses'!$D$58),MIN(1,(49-'Hypothèses'!$D$58+1)/'Hypothèses'!$D$59),0)</f>
      </c>
      <c r="BA90" s="2" t="e">
        <f>IF(AND('Hypothèses'!$D$57=1,50&gt;='Hypothèses'!$D$58),MIN(1,(50-'Hypothèses'!$D$58+1)/'Hypothèses'!$D$59),0)</f>
      </c>
      <c r="BB90" s="2" t="e">
        <f>IF(AND('Hypothèses'!$D$57=1,51&gt;='Hypothèses'!$D$58),MIN(1,(51-'Hypothèses'!$D$58+1)/'Hypothèses'!$D$59),0)</f>
      </c>
      <c r="BC90" s="2" t="e">
        <f>IF(AND('Hypothèses'!$D$57=1,52&gt;='Hypothèses'!$D$58),MIN(1,(52-'Hypothèses'!$D$58+1)/'Hypothèses'!$D$59),0)</f>
      </c>
      <c r="BD90" s="2" t="e">
        <f>IF(AND('Hypothèses'!$D$57=1,53&gt;='Hypothèses'!$D$58),MIN(1,(53-'Hypothèses'!$D$58+1)/'Hypothèses'!$D$59),0)</f>
      </c>
      <c r="BE90" s="2" t="e">
        <f>IF(AND('Hypothèses'!$D$57=1,54&gt;='Hypothèses'!$D$58),MIN(1,(54-'Hypothèses'!$D$58+1)/'Hypothèses'!$D$59),0)</f>
      </c>
      <c r="BF90" s="2" t="e">
        <f>IF(AND('Hypothèses'!$D$57=1,55&gt;='Hypothèses'!$D$58),MIN(1,(55-'Hypothèses'!$D$58+1)/'Hypothèses'!$D$59),0)</f>
      </c>
      <c r="BG90" s="2" t="e">
        <f>IF(AND('Hypothèses'!$D$57=1,56&gt;='Hypothèses'!$D$58),MIN(1,(56-'Hypothèses'!$D$58+1)/'Hypothèses'!$D$59),0)</f>
      </c>
      <c r="BH90" s="2" t="e">
        <f>IF(AND('Hypothèses'!$D$57=1,57&gt;='Hypothèses'!$D$58),MIN(1,(57-'Hypothèses'!$D$58+1)/'Hypothèses'!$D$59),0)</f>
      </c>
      <c r="BI90" s="2" t="e">
        <f>IF(AND('Hypothèses'!$D$57=1,58&gt;='Hypothèses'!$D$58),MIN(1,(58-'Hypothèses'!$D$58+1)/'Hypothèses'!$D$59),0)</f>
      </c>
      <c r="BJ90" s="2" t="e">
        <f>IF(AND('Hypothèses'!$D$57=1,59&gt;='Hypothèses'!$D$58),MIN(1,(59-'Hypothèses'!$D$58+1)/'Hypothèses'!$D$59),0)</f>
      </c>
      <c r="BK90" s="2" t="e">
        <f>IF(AND('Hypothèses'!$D$57=1,60&gt;='Hypothèses'!$D$58),MIN(1,(60-'Hypothèses'!$D$58+1)/'Hypothèses'!$D$59),0)</f>
      </c>
      <c r="BL90" s="2" t="e">
        <f>AVERAGE(D90:O90)</f>
      </c>
      <c r="BM90" s="2" t="e">
        <f>AVERAGE(P90:AA90)</f>
      </c>
      <c r="BN90" s="2" t="e">
        <f>AVERAGE(AB90:AM90)</f>
      </c>
      <c r="BO90" s="2" t="e">
        <f>AVERAGE(AN90:AY90)</f>
      </c>
      <c r="BP90" s="2" t="e">
        <f>AVERAGE(AZ90:BK90)</f>
      </c>
    </row>
    <row r="91">
      <c r="A91" t="str">
        <v>Nouveaux clients Produit A</v>
      </c>
      <c r="B91" t="str">
        <v>clients</v>
      </c>
      <c r="D91" s="8" t="e">
        <f>D83*'Hypothèses'!$D$20+D90*'Hypothèses'!$D$60</f>
      </c>
      <c r="E91" s="8" t="e">
        <f>E83*'Hypothèses'!$D$20+E90*'Hypothèses'!$D$60</f>
      </c>
      <c r="F91" s="8" t="e">
        <f>F83*'Hypothèses'!$D$20+F90*'Hypothèses'!$D$60</f>
      </c>
      <c r="G91" s="8" t="e">
        <f>G83*'Hypothèses'!$D$20+G90*'Hypothèses'!$D$60</f>
      </c>
      <c r="H91" s="8" t="e">
        <f>H83*'Hypothèses'!$D$20+H90*'Hypothèses'!$D$60</f>
      </c>
      <c r="I91" s="8" t="e">
        <f>I83*'Hypothèses'!$D$20+I90*'Hypothèses'!$D$60</f>
      </c>
      <c r="J91" s="8" t="e">
        <f>J83*'Hypothèses'!$D$20+J90*'Hypothèses'!$D$60</f>
      </c>
      <c r="K91" s="8" t="e">
        <f>K83*'Hypothèses'!$D$20+K90*'Hypothèses'!$D$60</f>
      </c>
      <c r="L91" s="8" t="e">
        <f>L83*'Hypothèses'!$D$20+L90*'Hypothèses'!$D$60</f>
      </c>
      <c r="M91" s="8" t="e">
        <f>M83*'Hypothèses'!$D$20+M90*'Hypothèses'!$D$60</f>
      </c>
      <c r="N91" s="8" t="e">
        <f>N83*'Hypothèses'!$D$20+N90*'Hypothèses'!$D$60</f>
      </c>
      <c r="O91" s="8" t="e">
        <f>O83*'Hypothèses'!$D$20+O90*'Hypothèses'!$D$60</f>
      </c>
      <c r="P91" s="8" t="e">
        <f>P83*'Hypothèses'!$D$20+P90*'Hypothèses'!$D$60</f>
      </c>
      <c r="Q91" s="8" t="e">
        <f>Q83*'Hypothèses'!$D$20+Q90*'Hypothèses'!$D$60</f>
      </c>
      <c r="R91" s="8" t="e">
        <f>R83*'Hypothèses'!$D$20+R90*'Hypothèses'!$D$60</f>
      </c>
      <c r="S91" s="8" t="e">
        <f>S83*'Hypothèses'!$D$20+S90*'Hypothèses'!$D$60</f>
      </c>
      <c r="T91" s="8" t="e">
        <f>T83*'Hypothèses'!$D$20+T90*'Hypothèses'!$D$60</f>
      </c>
      <c r="U91" s="8" t="e">
        <f>U83*'Hypothèses'!$D$20+U90*'Hypothèses'!$D$60</f>
      </c>
      <c r="V91" s="8" t="e">
        <f>V83*'Hypothèses'!$D$20+V90*'Hypothèses'!$D$60</f>
      </c>
      <c r="W91" s="8" t="e">
        <f>W83*'Hypothèses'!$D$20+W90*'Hypothèses'!$D$60</f>
      </c>
      <c r="X91" s="8" t="e">
        <f>X83*'Hypothèses'!$D$20+X90*'Hypothèses'!$D$60</f>
      </c>
      <c r="Y91" s="8" t="e">
        <f>Y83*'Hypothèses'!$D$20+Y90*'Hypothèses'!$D$60</f>
      </c>
      <c r="Z91" s="8" t="e">
        <f>Z83*'Hypothèses'!$D$20+Z90*'Hypothèses'!$D$60</f>
      </c>
      <c r="AA91" s="8" t="e">
        <f>AA83*'Hypothèses'!$D$20+AA90*'Hypothèses'!$D$60</f>
      </c>
      <c r="AB91" s="8" t="e">
        <f>AB83*'Hypothèses'!$D$20+AB90*'Hypothèses'!$D$60</f>
      </c>
      <c r="AC91" s="8" t="e">
        <f>AC83*'Hypothèses'!$D$20+AC90*'Hypothèses'!$D$60</f>
      </c>
      <c r="AD91" s="8" t="e">
        <f>AD83*'Hypothèses'!$D$20+AD90*'Hypothèses'!$D$60</f>
      </c>
      <c r="AE91" s="8" t="e">
        <f>AE83*'Hypothèses'!$D$20+AE90*'Hypothèses'!$D$60</f>
      </c>
      <c r="AF91" s="8" t="e">
        <f>AF83*'Hypothèses'!$D$20+AF90*'Hypothèses'!$D$60</f>
      </c>
      <c r="AG91" s="8" t="e">
        <f>AG83*'Hypothèses'!$D$20+AG90*'Hypothèses'!$D$60</f>
      </c>
      <c r="AH91" s="8" t="e">
        <f>AH83*'Hypothèses'!$D$20+AH90*'Hypothèses'!$D$60</f>
      </c>
      <c r="AI91" s="8" t="e">
        <f>AI83*'Hypothèses'!$D$20+AI90*'Hypothèses'!$D$60</f>
      </c>
      <c r="AJ91" s="8" t="e">
        <f>AJ83*'Hypothèses'!$D$20+AJ90*'Hypothèses'!$D$60</f>
      </c>
      <c r="AK91" s="8" t="e">
        <f>AK83*'Hypothèses'!$D$20+AK90*'Hypothèses'!$D$60</f>
      </c>
      <c r="AL91" s="8" t="e">
        <f>AL83*'Hypothèses'!$D$20+AL90*'Hypothèses'!$D$60</f>
      </c>
      <c r="AM91" s="8" t="e">
        <f>AM83*'Hypothèses'!$D$20+AM90*'Hypothèses'!$D$60</f>
      </c>
      <c r="AN91" s="8" t="e">
        <f>AN83*'Hypothèses'!$D$20+AN90*'Hypothèses'!$D$60</f>
      </c>
      <c r="AO91" s="8" t="e">
        <f>AO83*'Hypothèses'!$D$20+AO90*'Hypothèses'!$D$60</f>
      </c>
      <c r="AP91" s="8" t="e">
        <f>AP83*'Hypothèses'!$D$20+AP90*'Hypothèses'!$D$60</f>
      </c>
      <c r="AQ91" s="8" t="e">
        <f>AQ83*'Hypothèses'!$D$20+AQ90*'Hypothèses'!$D$60</f>
      </c>
      <c r="AR91" s="8" t="e">
        <f>AR83*'Hypothèses'!$D$20+AR90*'Hypothèses'!$D$60</f>
      </c>
      <c r="AS91" s="8" t="e">
        <f>AS83*'Hypothèses'!$D$20+AS90*'Hypothèses'!$D$60</f>
      </c>
      <c r="AT91" s="8" t="e">
        <f>AT83*'Hypothèses'!$D$20+AT90*'Hypothèses'!$D$60</f>
      </c>
      <c r="AU91" s="8" t="e">
        <f>AU83*'Hypothèses'!$D$20+AU90*'Hypothèses'!$D$60</f>
      </c>
      <c r="AV91" s="8" t="e">
        <f>AV83*'Hypothèses'!$D$20+AV90*'Hypothèses'!$D$60</f>
      </c>
      <c r="AW91" s="8" t="e">
        <f>AW83*'Hypothèses'!$D$20+AW90*'Hypothèses'!$D$60</f>
      </c>
      <c r="AX91" s="8" t="e">
        <f>AX83*'Hypothèses'!$D$20+AX90*'Hypothèses'!$D$60</f>
      </c>
      <c r="AY91" s="8" t="e">
        <f>AY83*'Hypothèses'!$D$20+AY90*'Hypothèses'!$D$60</f>
      </c>
      <c r="AZ91" s="8" t="e">
        <f>AZ83*'Hypothèses'!$D$20+AZ90*'Hypothèses'!$D$60</f>
      </c>
      <c r="BA91" s="8" t="e">
        <f>BA83*'Hypothèses'!$D$20+BA90*'Hypothèses'!$D$60</f>
      </c>
      <c r="BB91" s="8" t="e">
        <f>BB83*'Hypothèses'!$D$20+BB90*'Hypothèses'!$D$60</f>
      </c>
      <c r="BC91" s="8" t="e">
        <f>BC83*'Hypothèses'!$D$20+BC90*'Hypothèses'!$D$60</f>
      </c>
      <c r="BD91" s="8" t="e">
        <f>BD83*'Hypothèses'!$D$20+BD90*'Hypothèses'!$D$60</f>
      </c>
      <c r="BE91" s="8" t="e">
        <f>BE83*'Hypothèses'!$D$20+BE90*'Hypothèses'!$D$60</f>
      </c>
      <c r="BF91" s="8" t="e">
        <f>BF83*'Hypothèses'!$D$20+BF90*'Hypothèses'!$D$60</f>
      </c>
      <c r="BG91" s="8" t="e">
        <f>BG83*'Hypothèses'!$D$20+BG90*'Hypothèses'!$D$60</f>
      </c>
      <c r="BH91" s="8" t="e">
        <f>BH83*'Hypothèses'!$D$20+BH90*'Hypothèses'!$D$60</f>
      </c>
      <c r="BI91" s="8" t="e">
        <f>BI83*'Hypothèses'!$D$20+BI90*'Hypothèses'!$D$60</f>
      </c>
      <c r="BJ91" s="8" t="e">
        <f>BJ83*'Hypothèses'!$D$20+BJ90*'Hypothèses'!$D$60</f>
      </c>
      <c r="BK91" s="8" t="e">
        <f>BK83*'Hypothèses'!$D$20+BK90*'Hypothèses'!$D$60</f>
      </c>
      <c r="BL91" s="8" t="e">
        <f>SUM(D91:O91)</f>
      </c>
      <c r="BM91" s="8" t="e">
        <f>SUM(P91:AA91)</f>
      </c>
      <c r="BN91" s="8" t="e">
        <f>SUM(AB91:AM91)</f>
      </c>
      <c r="BO91" s="8" t="e">
        <f>SUM(AN91:AY91)</f>
      </c>
      <c r="BP91" s="8" t="e">
        <f>SUM(AZ91:BK91)</f>
      </c>
    </row>
    <row r="92">
      <c r="A92" t="str">
        <v>Nouveaux clients Produit B</v>
      </c>
      <c r="B92" t="str">
        <v>clients</v>
      </c>
      <c r="D92" s="8" t="e">
        <f>D83*'Hypothèses'!$D$21</f>
      </c>
      <c r="E92" s="8" t="e">
        <f>E83*'Hypothèses'!$D$21</f>
      </c>
      <c r="F92" s="8" t="e">
        <f>F83*'Hypothèses'!$D$21</f>
      </c>
      <c r="G92" s="8" t="e">
        <f>G83*'Hypothèses'!$D$21</f>
      </c>
      <c r="H92" s="8" t="e">
        <f>H83*'Hypothèses'!$D$21</f>
      </c>
      <c r="I92" s="8" t="e">
        <f>I83*'Hypothèses'!$D$21</f>
      </c>
      <c r="J92" s="8" t="e">
        <f>J83*'Hypothèses'!$D$21</f>
      </c>
      <c r="K92" s="8" t="e">
        <f>K83*'Hypothèses'!$D$21</f>
      </c>
      <c r="L92" s="8" t="e">
        <f>L83*'Hypothèses'!$D$21</f>
      </c>
      <c r="M92" s="8" t="e">
        <f>M83*'Hypothèses'!$D$21</f>
      </c>
      <c r="N92" s="8" t="e">
        <f>N83*'Hypothèses'!$D$21</f>
      </c>
      <c r="O92" s="8" t="e">
        <f>O83*'Hypothèses'!$D$21</f>
      </c>
      <c r="P92" s="8" t="e">
        <f>P83*'Hypothèses'!$D$21</f>
      </c>
      <c r="Q92" s="8" t="e">
        <f>Q83*'Hypothèses'!$D$21</f>
      </c>
      <c r="R92" s="8" t="e">
        <f>R83*'Hypothèses'!$D$21</f>
      </c>
      <c r="S92" s="8" t="e">
        <f>S83*'Hypothèses'!$D$21</f>
      </c>
      <c r="T92" s="8" t="e">
        <f>T83*'Hypothèses'!$D$21</f>
      </c>
      <c r="U92" s="8" t="e">
        <f>U83*'Hypothèses'!$D$21</f>
      </c>
      <c r="V92" s="8" t="e">
        <f>V83*'Hypothèses'!$D$21</f>
      </c>
      <c r="W92" s="8" t="e">
        <f>W83*'Hypothèses'!$D$21</f>
      </c>
      <c r="X92" s="8" t="e">
        <f>X83*'Hypothèses'!$D$21</f>
      </c>
      <c r="Y92" s="8" t="e">
        <f>Y83*'Hypothèses'!$D$21</f>
      </c>
      <c r="Z92" s="8" t="e">
        <f>Z83*'Hypothèses'!$D$21</f>
      </c>
      <c r="AA92" s="8" t="e">
        <f>AA83*'Hypothèses'!$D$21</f>
      </c>
      <c r="AB92" s="8" t="e">
        <f>AB83*'Hypothèses'!$D$21</f>
      </c>
      <c r="AC92" s="8" t="e">
        <f>AC83*'Hypothèses'!$D$21</f>
      </c>
      <c r="AD92" s="8" t="e">
        <f>AD83*'Hypothèses'!$D$21</f>
      </c>
      <c r="AE92" s="8" t="e">
        <f>AE83*'Hypothèses'!$D$21</f>
      </c>
      <c r="AF92" s="8" t="e">
        <f>AF83*'Hypothèses'!$D$21</f>
      </c>
      <c r="AG92" s="8" t="e">
        <f>AG83*'Hypothèses'!$D$21</f>
      </c>
      <c r="AH92" s="8" t="e">
        <f>AH83*'Hypothèses'!$D$21</f>
      </c>
      <c r="AI92" s="8" t="e">
        <f>AI83*'Hypothèses'!$D$21</f>
      </c>
      <c r="AJ92" s="8" t="e">
        <f>AJ83*'Hypothèses'!$D$21</f>
      </c>
      <c r="AK92" s="8" t="e">
        <f>AK83*'Hypothèses'!$D$21</f>
      </c>
      <c r="AL92" s="8" t="e">
        <f>AL83*'Hypothèses'!$D$21</f>
      </c>
      <c r="AM92" s="8" t="e">
        <f>AM83*'Hypothèses'!$D$21</f>
      </c>
      <c r="AN92" s="8" t="e">
        <f>AN83*'Hypothèses'!$D$21</f>
      </c>
      <c r="AO92" s="8" t="e">
        <f>AO83*'Hypothèses'!$D$21</f>
      </c>
      <c r="AP92" s="8" t="e">
        <f>AP83*'Hypothèses'!$D$21</f>
      </c>
      <c r="AQ92" s="8" t="e">
        <f>AQ83*'Hypothèses'!$D$21</f>
      </c>
      <c r="AR92" s="8" t="e">
        <f>AR83*'Hypothèses'!$D$21</f>
      </c>
      <c r="AS92" s="8" t="e">
        <f>AS83*'Hypothèses'!$D$21</f>
      </c>
      <c r="AT92" s="8" t="e">
        <f>AT83*'Hypothèses'!$D$21</f>
      </c>
      <c r="AU92" s="8" t="e">
        <f>AU83*'Hypothèses'!$D$21</f>
      </c>
      <c r="AV92" s="8" t="e">
        <f>AV83*'Hypothèses'!$D$21</f>
      </c>
      <c r="AW92" s="8" t="e">
        <f>AW83*'Hypothèses'!$D$21</f>
      </c>
      <c r="AX92" s="8" t="e">
        <f>AX83*'Hypothèses'!$D$21</f>
      </c>
      <c r="AY92" s="8" t="e">
        <f>AY83*'Hypothèses'!$D$21</f>
      </c>
      <c r="AZ92" s="8" t="e">
        <f>AZ83*'Hypothèses'!$D$21</f>
      </c>
      <c r="BA92" s="8" t="e">
        <f>BA83*'Hypothèses'!$D$21</f>
      </c>
      <c r="BB92" s="8" t="e">
        <f>BB83*'Hypothèses'!$D$21</f>
      </c>
      <c r="BC92" s="8" t="e">
        <f>BC83*'Hypothèses'!$D$21</f>
      </c>
      <c r="BD92" s="8" t="e">
        <f>BD83*'Hypothèses'!$D$21</f>
      </c>
      <c r="BE92" s="8" t="e">
        <f>BE83*'Hypothèses'!$D$21</f>
      </c>
      <c r="BF92" s="8" t="e">
        <f>BF83*'Hypothèses'!$D$21</f>
      </c>
      <c r="BG92" s="8" t="e">
        <f>BG83*'Hypothèses'!$D$21</f>
      </c>
      <c r="BH92" s="8" t="e">
        <f>BH83*'Hypothèses'!$D$21</f>
      </c>
      <c r="BI92" s="8" t="e">
        <f>BI83*'Hypothèses'!$D$21</f>
      </c>
      <c r="BJ92" s="8" t="e">
        <f>BJ83*'Hypothèses'!$D$21</f>
      </c>
      <c r="BK92" s="8" t="e">
        <f>BK83*'Hypothèses'!$D$21</f>
      </c>
      <c r="BL92" s="8" t="e">
        <f>SUM(D92:O92)</f>
      </c>
      <c r="BM92" s="8" t="e">
        <f>SUM(P92:AA92)</f>
      </c>
      <c r="BN92" s="8" t="e">
        <f>SUM(AB92:AM92)</f>
      </c>
      <c r="BO92" s="8" t="e">
        <f>SUM(AN92:AY92)</f>
      </c>
      <c r="BP92" s="8" t="e">
        <f>SUM(AZ92:BK92)</f>
      </c>
    </row>
    <row r="93">
      <c r="A93" t="str">
        <v>Taux de transformation des opportunités</v>
      </c>
      <c r="B93" t="str">
        <v>%</v>
      </c>
      <c r="D93" s="2" t="e">
        <f>IF(D89=0,0,(D91+D92)/D89)</f>
      </c>
      <c r="E93" s="2" t="e">
        <f>IF(E89=0,0,(E91+E92)/E89)</f>
      </c>
      <c r="F93" s="2" t="e">
        <f>IF(F89=0,0,(F91+F92)/F89)</f>
      </c>
      <c r="G93" s="2" t="e">
        <f>IF(G89=0,0,(G91+G92)/G89)</f>
      </c>
      <c r="H93" s="2" t="e">
        <f>IF(H89=0,0,(H91+H92)/H89)</f>
      </c>
      <c r="I93" s="2" t="e">
        <f>IF(I89=0,0,(I91+I92)/I89)</f>
      </c>
      <c r="J93" s="2" t="e">
        <f>IF(J89=0,0,(J91+J92)/J89)</f>
      </c>
      <c r="K93" s="2" t="e">
        <f>IF(K89=0,0,(K91+K92)/K89)</f>
      </c>
      <c r="L93" s="2" t="e">
        <f>IF(L89=0,0,(L91+L92)/L89)</f>
      </c>
      <c r="M93" s="2" t="e">
        <f>IF(M89=0,0,(M91+M92)/M89)</f>
      </c>
      <c r="N93" s="2" t="e">
        <f>IF(N89=0,0,(N91+N92)/N89)</f>
      </c>
      <c r="O93" s="2" t="e">
        <f>IF(O89=0,0,(O91+O92)/O89)</f>
      </c>
      <c r="P93" s="2" t="e">
        <f>IF(P89=0,0,(P91+P92)/P89)</f>
      </c>
      <c r="Q93" s="2" t="e">
        <f>IF(Q89=0,0,(Q91+Q92)/Q89)</f>
      </c>
      <c r="R93" s="2" t="e">
        <f>IF(R89=0,0,(R91+R92)/R89)</f>
      </c>
      <c r="S93" s="2" t="e">
        <f>IF(S89=0,0,(S91+S92)/S89)</f>
      </c>
      <c r="T93" s="2" t="e">
        <f>IF(T89=0,0,(T91+T92)/T89)</f>
      </c>
      <c r="U93" s="2" t="e">
        <f>IF(U89=0,0,(U91+U92)/U89)</f>
      </c>
      <c r="V93" s="2" t="e">
        <f>IF(V89=0,0,(V91+V92)/V89)</f>
      </c>
      <c r="W93" s="2" t="e">
        <f>IF(W89=0,0,(W91+W92)/W89)</f>
      </c>
      <c r="X93" s="2" t="e">
        <f>IF(X89=0,0,(X91+X92)/X89)</f>
      </c>
      <c r="Y93" s="2" t="e">
        <f>IF(Y89=0,0,(Y91+Y92)/Y89)</f>
      </c>
      <c r="Z93" s="2" t="e">
        <f>IF(Z89=0,0,(Z91+Z92)/Z89)</f>
      </c>
      <c r="AA93" s="2" t="e">
        <f>IF(AA89=0,0,(AA91+AA92)/AA89)</f>
      </c>
      <c r="AB93" s="2" t="e">
        <f>IF(AB89=0,0,(AB91+AB92)/AB89)</f>
      </c>
      <c r="AC93" s="2" t="e">
        <f>IF(AC89=0,0,(AC91+AC92)/AC89)</f>
      </c>
      <c r="AD93" s="2" t="e">
        <f>IF(AD89=0,0,(AD91+AD92)/AD89)</f>
      </c>
      <c r="AE93" s="2" t="e">
        <f>IF(AE89=0,0,(AE91+AE92)/AE89)</f>
      </c>
      <c r="AF93" s="2" t="e">
        <f>IF(AF89=0,0,(AF91+AF92)/AF89)</f>
      </c>
      <c r="AG93" s="2" t="e">
        <f>IF(AG89=0,0,(AG91+AG92)/AG89)</f>
      </c>
      <c r="AH93" s="2" t="e">
        <f>IF(AH89=0,0,(AH91+AH92)/AH89)</f>
      </c>
      <c r="AI93" s="2" t="e">
        <f>IF(AI89=0,0,(AI91+AI92)/AI89)</f>
      </c>
      <c r="AJ93" s="2" t="e">
        <f>IF(AJ89=0,0,(AJ91+AJ92)/AJ89)</f>
      </c>
      <c r="AK93" s="2" t="e">
        <f>IF(AK89=0,0,(AK91+AK92)/AK89)</f>
      </c>
      <c r="AL93" s="2" t="e">
        <f>IF(AL89=0,0,(AL91+AL92)/AL89)</f>
      </c>
      <c r="AM93" s="2" t="e">
        <f>IF(AM89=0,0,(AM91+AM92)/AM89)</f>
      </c>
      <c r="AN93" s="2" t="e">
        <f>IF(AN89=0,0,(AN91+AN92)/AN89)</f>
      </c>
      <c r="AO93" s="2" t="e">
        <f>IF(AO89=0,0,(AO91+AO92)/AO89)</f>
      </c>
      <c r="AP93" s="2" t="e">
        <f>IF(AP89=0,0,(AP91+AP92)/AP89)</f>
      </c>
      <c r="AQ93" s="2" t="e">
        <f>IF(AQ89=0,0,(AQ91+AQ92)/AQ89)</f>
      </c>
      <c r="AR93" s="2" t="e">
        <f>IF(AR89=0,0,(AR91+AR92)/AR89)</f>
      </c>
      <c r="AS93" s="2" t="e">
        <f>IF(AS89=0,0,(AS91+AS92)/AS89)</f>
      </c>
      <c r="AT93" s="2" t="e">
        <f>IF(AT89=0,0,(AT91+AT92)/AT89)</f>
      </c>
      <c r="AU93" s="2" t="e">
        <f>IF(AU89=0,0,(AU91+AU92)/AU89)</f>
      </c>
      <c r="AV93" s="2" t="e">
        <f>IF(AV89=0,0,(AV91+AV92)/AV89)</f>
      </c>
      <c r="AW93" s="2" t="e">
        <f>IF(AW89=0,0,(AW91+AW92)/AW89)</f>
      </c>
      <c r="AX93" s="2" t="e">
        <f>IF(AX89=0,0,(AX91+AX92)/AX89)</f>
      </c>
      <c r="AY93" s="2" t="e">
        <f>IF(AY89=0,0,(AY91+AY92)/AY89)</f>
      </c>
      <c r="AZ93" s="2" t="e">
        <f>IF(AZ89=0,0,(AZ91+AZ92)/AZ89)</f>
      </c>
      <c r="BA93" s="2" t="e">
        <f>IF(BA89=0,0,(BA91+BA92)/BA89)</f>
      </c>
      <c r="BB93" s="2" t="e">
        <f>IF(BB89=0,0,(BB91+BB92)/BB89)</f>
      </c>
      <c r="BC93" s="2" t="e">
        <f>IF(BC89=0,0,(BC91+BC92)/BC89)</f>
      </c>
      <c r="BD93" s="2" t="e">
        <f>IF(BD89=0,0,(BD91+BD92)/BD89)</f>
      </c>
      <c r="BE93" s="2" t="e">
        <f>IF(BE89=0,0,(BE91+BE92)/BE89)</f>
      </c>
      <c r="BF93" s="2" t="e">
        <f>IF(BF89=0,0,(BF91+BF92)/BF89)</f>
      </c>
      <c r="BG93" s="2" t="e">
        <f>IF(BG89=0,0,(BG91+BG92)/BG89)</f>
      </c>
      <c r="BH93" s="2" t="e">
        <f>IF(BH89=0,0,(BH91+BH92)/BH89)</f>
      </c>
      <c r="BI93" s="2" t="e">
        <f>IF(BI89=0,0,(BI91+BI92)/BI89)</f>
      </c>
      <c r="BJ93" s="2" t="e">
        <f>IF(BJ89=0,0,(BJ91+BJ92)/BJ89)</f>
      </c>
      <c r="BK93" s="2" t="e">
        <f>IF(BK89=0,0,(BK91+BK92)/BK89)</f>
      </c>
      <c r="BL93" s="2" t="e">
        <f>AVERAGE(D93:O93)</f>
      </c>
      <c r="BM93" s="2" t="e">
        <f>AVERAGE(P93:AA93)</f>
      </c>
      <c r="BN93" s="2" t="e">
        <f>AVERAGE(AB93:AM93)</f>
      </c>
      <c r="BO93" s="2" t="e">
        <f>AVERAGE(AN93:AY93)</f>
      </c>
      <c r="BP93" s="2" t="e">
        <f>AVERAGE(AZ93:BK93)</f>
      </c>
    </row>
    <row r="94">
      <c r="A94" t="str">
        <v>Clients actifs Produit A</v>
      </c>
      <c r="B94" t="str">
        <v>clients</v>
      </c>
      <c r="C94" s="8">
        <v>0</v>
      </c>
      <c r="D94" s="8" t="e">
        <f>C94*(1-'Hypothèses'!$D$14)+D91</f>
      </c>
      <c r="E94" s="8" t="e">
        <f>D94*(1-'Hypothèses'!$D$14)+E91</f>
      </c>
      <c r="F94" s="8" t="e">
        <f>E94*(1-'Hypothèses'!$D$14)+F91</f>
      </c>
      <c r="G94" s="8" t="e">
        <f>F94*(1-'Hypothèses'!$D$14)+G91</f>
      </c>
      <c r="H94" s="8" t="e">
        <f>G94*(1-'Hypothèses'!$D$14)+H91</f>
      </c>
      <c r="I94" s="8" t="e">
        <f>H94*(1-'Hypothèses'!$D$14)+I91</f>
      </c>
      <c r="J94" s="8" t="e">
        <f>I94*(1-'Hypothèses'!$D$14)+J91</f>
      </c>
      <c r="K94" s="8" t="e">
        <f>J94*(1-'Hypothèses'!$D$14)+K91</f>
      </c>
      <c r="L94" s="8" t="e">
        <f>K94*(1-'Hypothèses'!$D$14)+L91</f>
      </c>
      <c r="M94" s="8" t="e">
        <f>L94*(1-'Hypothèses'!$D$14)+M91</f>
      </c>
      <c r="N94" s="8" t="e">
        <f>M94*(1-'Hypothèses'!$D$14)+N91</f>
      </c>
      <c r="O94" s="8" t="e">
        <f>N94*(1-'Hypothèses'!$D$14)+O91</f>
      </c>
      <c r="P94" s="8" t="e">
        <f>O94*(1-'Hypothèses'!$D$14)+P91</f>
      </c>
      <c r="Q94" s="8" t="e">
        <f>P94*(1-'Hypothèses'!$D$14)+Q91</f>
      </c>
      <c r="R94" s="8" t="e">
        <f>Q94*(1-'Hypothèses'!$D$14)+R91</f>
      </c>
      <c r="S94" s="8" t="e">
        <f>R94*(1-'Hypothèses'!$D$14)+S91</f>
      </c>
      <c r="T94" s="8" t="e">
        <f>S94*(1-'Hypothèses'!$D$14)+T91</f>
      </c>
      <c r="U94" s="8" t="e">
        <f>T94*(1-'Hypothèses'!$D$14)+U91</f>
      </c>
      <c r="V94" s="8" t="e">
        <f>U94*(1-'Hypothèses'!$D$14)+V91</f>
      </c>
      <c r="W94" s="8" t="e">
        <f>V94*(1-'Hypothèses'!$D$14)+W91</f>
      </c>
      <c r="X94" s="8" t="e">
        <f>W94*(1-'Hypothèses'!$D$14)+X91</f>
      </c>
      <c r="Y94" s="8" t="e">
        <f>X94*(1-'Hypothèses'!$D$14)+Y91</f>
      </c>
      <c r="Z94" s="8" t="e">
        <f>Y94*(1-'Hypothèses'!$D$14)+Z91</f>
      </c>
      <c r="AA94" s="8" t="e">
        <f>Z94*(1-'Hypothèses'!$D$14)+AA91</f>
      </c>
      <c r="AB94" s="8" t="e">
        <f>AA94*(1-'Hypothèses'!$D$14)+AB91</f>
      </c>
      <c r="AC94" s="8" t="e">
        <f>AB94*(1-'Hypothèses'!$D$14)+AC91</f>
      </c>
      <c r="AD94" s="8" t="e">
        <f>AC94*(1-'Hypothèses'!$D$14)+AD91</f>
      </c>
      <c r="AE94" s="8" t="e">
        <f>AD94*(1-'Hypothèses'!$D$14)+AE91</f>
      </c>
      <c r="AF94" s="8" t="e">
        <f>AE94*(1-'Hypothèses'!$D$14)+AF91</f>
      </c>
      <c r="AG94" s="8" t="e">
        <f>AF94*(1-'Hypothèses'!$D$14)+AG91</f>
      </c>
      <c r="AH94" s="8" t="e">
        <f>AG94*(1-'Hypothèses'!$D$14)+AH91</f>
      </c>
      <c r="AI94" s="8" t="e">
        <f>AH94*(1-'Hypothèses'!$D$14)+AI91</f>
      </c>
      <c r="AJ94" s="8" t="e">
        <f>AI94*(1-'Hypothèses'!$D$14)+AJ91</f>
      </c>
      <c r="AK94" s="8" t="e">
        <f>AJ94*(1-'Hypothèses'!$D$14)+AK91</f>
      </c>
      <c r="AL94" s="8" t="e">
        <f>AK94*(1-'Hypothèses'!$D$14)+AL91</f>
      </c>
      <c r="AM94" s="8" t="e">
        <f>AL94*(1-'Hypothèses'!$D$14)+AM91</f>
      </c>
      <c r="AN94" s="8" t="e">
        <f>AM94*(1-'Hypothèses'!$D$14)+AN91</f>
      </c>
      <c r="AO94" s="8" t="e">
        <f>AN94*(1-'Hypothèses'!$D$14)+AO91</f>
      </c>
      <c r="AP94" s="8" t="e">
        <f>AO94*(1-'Hypothèses'!$D$14)+AP91</f>
      </c>
      <c r="AQ94" s="8" t="e">
        <f>AP94*(1-'Hypothèses'!$D$14)+AQ91</f>
      </c>
      <c r="AR94" s="8" t="e">
        <f>AQ94*(1-'Hypothèses'!$D$14)+AR91</f>
      </c>
      <c r="AS94" s="8" t="e">
        <f>AR94*(1-'Hypothèses'!$D$14)+AS91</f>
      </c>
      <c r="AT94" s="8" t="e">
        <f>AS94*(1-'Hypothèses'!$D$14)+AT91</f>
      </c>
      <c r="AU94" s="8" t="e">
        <f>AT94*(1-'Hypothèses'!$D$14)+AU91</f>
      </c>
      <c r="AV94" s="8" t="e">
        <f>AU94*(1-'Hypothèses'!$D$14)+AV91</f>
      </c>
      <c r="AW94" s="8" t="e">
        <f>AV94*(1-'Hypothèses'!$D$14)+AW91</f>
      </c>
      <c r="AX94" s="8" t="e">
        <f>AW94*(1-'Hypothèses'!$D$14)+AX91</f>
      </c>
      <c r="AY94" s="8" t="e">
        <f>AX94*(1-'Hypothèses'!$D$14)+AY91</f>
      </c>
      <c r="AZ94" s="8" t="e">
        <f>AY94*(1-'Hypothèses'!$D$14)+AZ91</f>
      </c>
      <c r="BA94" s="8" t="e">
        <f>AZ94*(1-'Hypothèses'!$D$14)+BA91</f>
      </c>
      <c r="BB94" s="8" t="e">
        <f>BA94*(1-'Hypothèses'!$D$14)+BB91</f>
      </c>
      <c r="BC94" s="8" t="e">
        <f>BB94*(1-'Hypothèses'!$D$14)+BC91</f>
      </c>
      <c r="BD94" s="8" t="e">
        <f>BC94*(1-'Hypothèses'!$D$14)+BD91</f>
      </c>
      <c r="BE94" s="8" t="e">
        <f>BD94*(1-'Hypothèses'!$D$14)+BE91</f>
      </c>
      <c r="BF94" s="8" t="e">
        <f>BE94*(1-'Hypothèses'!$D$14)+BF91</f>
      </c>
      <c r="BG94" s="8" t="e">
        <f>BF94*(1-'Hypothèses'!$D$14)+BG91</f>
      </c>
      <c r="BH94" s="8" t="e">
        <f>BG94*(1-'Hypothèses'!$D$14)+BH91</f>
      </c>
      <c r="BI94" s="8" t="e">
        <f>BH94*(1-'Hypothèses'!$D$14)+BI91</f>
      </c>
      <c r="BJ94" s="8" t="e">
        <f>BI94*(1-'Hypothèses'!$D$14)+BJ91</f>
      </c>
      <c r="BK94" s="8" t="e">
        <f>BJ94*(1-'Hypothèses'!$D$14)+BK91</f>
      </c>
      <c r="BL94" s="8" t="e">
        <f>O94</f>
      </c>
      <c r="BM94" s="8" t="e">
        <f>AA94</f>
      </c>
      <c r="BN94" s="8" t="e">
        <f>AM94</f>
      </c>
      <c r="BO94" s="8" t="e">
        <f>AY94</f>
      </c>
      <c r="BP94" s="8" t="e">
        <f>BK94</f>
      </c>
    </row>
    <row r="95">
      <c r="A95" t="str">
        <v>Clients actifs Produit B</v>
      </c>
      <c r="B95" t="str">
        <v>clients</v>
      </c>
      <c r="C95" s="8">
        <v>0</v>
      </c>
      <c r="D95" s="8" t="e">
        <f>C95*(1-'Hypothèses'!$D$15)+D92</f>
      </c>
      <c r="E95" s="8" t="e">
        <f>D95*(1-'Hypothèses'!$D$15)+E92</f>
      </c>
      <c r="F95" s="8" t="e">
        <f>E95*(1-'Hypothèses'!$D$15)+F92</f>
      </c>
      <c r="G95" s="8" t="e">
        <f>F95*(1-'Hypothèses'!$D$15)+G92</f>
      </c>
      <c r="H95" s="8" t="e">
        <f>G95*(1-'Hypothèses'!$D$15)+H92</f>
      </c>
      <c r="I95" s="8" t="e">
        <f>H95*(1-'Hypothèses'!$D$15)+I92</f>
      </c>
      <c r="J95" s="8" t="e">
        <f>I95*(1-'Hypothèses'!$D$15)+J92</f>
      </c>
      <c r="K95" s="8" t="e">
        <f>J95*(1-'Hypothèses'!$D$15)+K92</f>
      </c>
      <c r="L95" s="8" t="e">
        <f>K95*(1-'Hypothèses'!$D$15)+L92</f>
      </c>
      <c r="M95" s="8" t="e">
        <f>L95*(1-'Hypothèses'!$D$15)+M92</f>
      </c>
      <c r="N95" s="8" t="e">
        <f>M95*(1-'Hypothèses'!$D$15)+N92</f>
      </c>
      <c r="O95" s="8" t="e">
        <f>N95*(1-'Hypothèses'!$D$15)+O92</f>
      </c>
      <c r="P95" s="8" t="e">
        <f>O95*(1-'Hypothèses'!$D$15)+P92</f>
      </c>
      <c r="Q95" s="8" t="e">
        <f>P95*(1-'Hypothèses'!$D$15)+Q92</f>
      </c>
      <c r="R95" s="8" t="e">
        <f>Q95*(1-'Hypothèses'!$D$15)+R92</f>
      </c>
      <c r="S95" s="8" t="e">
        <f>R95*(1-'Hypothèses'!$D$15)+S92</f>
      </c>
      <c r="T95" s="8" t="e">
        <f>S95*(1-'Hypothèses'!$D$15)+T92</f>
      </c>
      <c r="U95" s="8" t="e">
        <f>T95*(1-'Hypothèses'!$D$15)+U92</f>
      </c>
      <c r="V95" s="8" t="e">
        <f>U95*(1-'Hypothèses'!$D$15)+V92</f>
      </c>
      <c r="W95" s="8" t="e">
        <f>V95*(1-'Hypothèses'!$D$15)+W92</f>
      </c>
      <c r="X95" s="8" t="e">
        <f>W95*(1-'Hypothèses'!$D$15)+X92</f>
      </c>
      <c r="Y95" s="8" t="e">
        <f>X95*(1-'Hypothèses'!$D$15)+Y92</f>
      </c>
      <c r="Z95" s="8" t="e">
        <f>Y95*(1-'Hypothèses'!$D$15)+Z92</f>
      </c>
      <c r="AA95" s="8" t="e">
        <f>Z95*(1-'Hypothèses'!$D$15)+AA92</f>
      </c>
      <c r="AB95" s="8" t="e">
        <f>AA95*(1-'Hypothèses'!$D$15)+AB92</f>
      </c>
      <c r="AC95" s="8" t="e">
        <f>AB95*(1-'Hypothèses'!$D$15)+AC92</f>
      </c>
      <c r="AD95" s="8" t="e">
        <f>AC95*(1-'Hypothèses'!$D$15)+AD92</f>
      </c>
      <c r="AE95" s="8" t="e">
        <f>AD95*(1-'Hypothèses'!$D$15)+AE92</f>
      </c>
      <c r="AF95" s="8" t="e">
        <f>AE95*(1-'Hypothèses'!$D$15)+AF92</f>
      </c>
      <c r="AG95" s="8" t="e">
        <f>AF95*(1-'Hypothèses'!$D$15)+AG92</f>
      </c>
      <c r="AH95" s="8" t="e">
        <f>AG95*(1-'Hypothèses'!$D$15)+AH92</f>
      </c>
      <c r="AI95" s="8" t="e">
        <f>AH95*(1-'Hypothèses'!$D$15)+AI92</f>
      </c>
      <c r="AJ95" s="8" t="e">
        <f>AI95*(1-'Hypothèses'!$D$15)+AJ92</f>
      </c>
      <c r="AK95" s="8" t="e">
        <f>AJ95*(1-'Hypothèses'!$D$15)+AK92</f>
      </c>
      <c r="AL95" s="8" t="e">
        <f>AK95*(1-'Hypothèses'!$D$15)+AL92</f>
      </c>
      <c r="AM95" s="8" t="e">
        <f>AL95*(1-'Hypothèses'!$D$15)+AM92</f>
      </c>
      <c r="AN95" s="8" t="e">
        <f>AM95*(1-'Hypothèses'!$D$15)+AN92</f>
      </c>
      <c r="AO95" s="8" t="e">
        <f>AN95*(1-'Hypothèses'!$D$15)+AO92</f>
      </c>
      <c r="AP95" s="8" t="e">
        <f>AO95*(1-'Hypothèses'!$D$15)+AP92</f>
      </c>
      <c r="AQ95" s="8" t="e">
        <f>AP95*(1-'Hypothèses'!$D$15)+AQ92</f>
      </c>
      <c r="AR95" s="8" t="e">
        <f>AQ95*(1-'Hypothèses'!$D$15)+AR92</f>
      </c>
      <c r="AS95" s="8" t="e">
        <f>AR95*(1-'Hypothèses'!$D$15)+AS92</f>
      </c>
      <c r="AT95" s="8" t="e">
        <f>AS95*(1-'Hypothèses'!$D$15)+AT92</f>
      </c>
      <c r="AU95" s="8" t="e">
        <f>AT95*(1-'Hypothèses'!$D$15)+AU92</f>
      </c>
      <c r="AV95" s="8" t="e">
        <f>AU95*(1-'Hypothèses'!$D$15)+AV92</f>
      </c>
      <c r="AW95" s="8" t="e">
        <f>AV95*(1-'Hypothèses'!$D$15)+AW92</f>
      </c>
      <c r="AX95" s="8" t="e">
        <f>AW95*(1-'Hypothèses'!$D$15)+AX92</f>
      </c>
      <c r="AY95" s="8" t="e">
        <f>AX95*(1-'Hypothèses'!$D$15)+AY92</f>
      </c>
      <c r="AZ95" s="8" t="e">
        <f>AY95*(1-'Hypothèses'!$D$15)+AZ92</f>
      </c>
      <c r="BA95" s="8" t="e">
        <f>AZ95*(1-'Hypothèses'!$D$15)+BA92</f>
      </c>
      <c r="BB95" s="8" t="e">
        <f>BA95*(1-'Hypothèses'!$D$15)+BB92</f>
      </c>
      <c r="BC95" s="8" t="e">
        <f>BB95*(1-'Hypothèses'!$D$15)+BC92</f>
      </c>
      <c r="BD95" s="8" t="e">
        <f>BC95*(1-'Hypothèses'!$D$15)+BD92</f>
      </c>
      <c r="BE95" s="8" t="e">
        <f>BD95*(1-'Hypothèses'!$D$15)+BE92</f>
      </c>
      <c r="BF95" s="8" t="e">
        <f>BE95*(1-'Hypothèses'!$D$15)+BF92</f>
      </c>
      <c r="BG95" s="8" t="e">
        <f>BF95*(1-'Hypothèses'!$D$15)+BG92</f>
      </c>
      <c r="BH95" s="8" t="e">
        <f>BG95*(1-'Hypothèses'!$D$15)+BH92</f>
      </c>
      <c r="BI95" s="8" t="e">
        <f>BH95*(1-'Hypothèses'!$D$15)+BI92</f>
      </c>
      <c r="BJ95" s="8" t="e">
        <f>BI95*(1-'Hypothèses'!$D$15)+BJ92</f>
      </c>
      <c r="BK95" s="8" t="e">
        <f>BJ95*(1-'Hypothèses'!$D$15)+BK92</f>
      </c>
      <c r="BL95" s="8" t="e">
        <f>O95</f>
      </c>
      <c r="BM95" s="8" t="e">
        <f>AA95</f>
      </c>
      <c r="BN95" s="8" t="e">
        <f>AM95</f>
      </c>
      <c r="BO95" s="8" t="e">
        <f>AY95</f>
      </c>
      <c r="BP95" s="8" t="e">
        <f>BK95</f>
      </c>
    </row>
    <row r="96">
      <c r="A96" t="str">
        <v>Clients actifs (total)</v>
      </c>
      <c r="B96" t="str">
        <v>clients</v>
      </c>
      <c r="D96" s="8" t="e">
        <f>D94+D95</f>
      </c>
      <c r="E96" s="8" t="e">
        <f>E94+E95</f>
      </c>
      <c r="F96" s="8" t="e">
        <f>F94+F95</f>
      </c>
      <c r="G96" s="8" t="e">
        <f>G94+G95</f>
      </c>
      <c r="H96" s="8" t="e">
        <f>H94+H95</f>
      </c>
      <c r="I96" s="8" t="e">
        <f>I94+I95</f>
      </c>
      <c r="J96" s="8" t="e">
        <f>J94+J95</f>
      </c>
      <c r="K96" s="8" t="e">
        <f>K94+K95</f>
      </c>
      <c r="L96" s="8" t="e">
        <f>L94+L95</f>
      </c>
      <c r="M96" s="8" t="e">
        <f>M94+M95</f>
      </c>
      <c r="N96" s="8" t="e">
        <f>N94+N95</f>
      </c>
      <c r="O96" s="8" t="e">
        <f>O94+O95</f>
      </c>
      <c r="P96" s="8" t="e">
        <f>P94+P95</f>
      </c>
      <c r="Q96" s="8" t="e">
        <f>Q94+Q95</f>
      </c>
      <c r="R96" s="8" t="e">
        <f>R94+R95</f>
      </c>
      <c r="S96" s="8" t="e">
        <f>S94+S95</f>
      </c>
      <c r="T96" s="8" t="e">
        <f>T94+T95</f>
      </c>
      <c r="U96" s="8" t="e">
        <f>U94+U95</f>
      </c>
      <c r="V96" s="8" t="e">
        <f>V94+V95</f>
      </c>
      <c r="W96" s="8" t="e">
        <f>W94+W95</f>
      </c>
      <c r="X96" s="8" t="e">
        <f>X94+X95</f>
      </c>
      <c r="Y96" s="8" t="e">
        <f>Y94+Y95</f>
      </c>
      <c r="Z96" s="8" t="e">
        <f>Z94+Z95</f>
      </c>
      <c r="AA96" s="8" t="e">
        <f>AA94+AA95</f>
      </c>
      <c r="AB96" s="8" t="e">
        <f>AB94+AB95</f>
      </c>
      <c r="AC96" s="8" t="e">
        <f>AC94+AC95</f>
      </c>
      <c r="AD96" s="8" t="e">
        <f>AD94+AD95</f>
      </c>
      <c r="AE96" s="8" t="e">
        <f>AE94+AE95</f>
      </c>
      <c r="AF96" s="8" t="e">
        <f>AF94+AF95</f>
      </c>
      <c r="AG96" s="8" t="e">
        <f>AG94+AG95</f>
      </c>
      <c r="AH96" s="8" t="e">
        <f>AH94+AH95</f>
      </c>
      <c r="AI96" s="8" t="e">
        <f>AI94+AI95</f>
      </c>
      <c r="AJ96" s="8" t="e">
        <f>AJ94+AJ95</f>
      </c>
      <c r="AK96" s="8" t="e">
        <f>AK94+AK95</f>
      </c>
      <c r="AL96" s="8" t="e">
        <f>AL94+AL95</f>
      </c>
      <c r="AM96" s="8" t="e">
        <f>AM94+AM95</f>
      </c>
      <c r="AN96" s="8" t="e">
        <f>AN94+AN95</f>
      </c>
      <c r="AO96" s="8" t="e">
        <f>AO94+AO95</f>
      </c>
      <c r="AP96" s="8" t="e">
        <f>AP94+AP95</f>
      </c>
      <c r="AQ96" s="8" t="e">
        <f>AQ94+AQ95</f>
      </c>
      <c r="AR96" s="8" t="e">
        <f>AR94+AR95</f>
      </c>
      <c r="AS96" s="8" t="e">
        <f>AS94+AS95</f>
      </c>
      <c r="AT96" s="8" t="e">
        <f>AT94+AT95</f>
      </c>
      <c r="AU96" s="8" t="e">
        <f>AU94+AU95</f>
      </c>
      <c r="AV96" s="8" t="e">
        <f>AV94+AV95</f>
      </c>
      <c r="AW96" s="8" t="e">
        <f>AW94+AW95</f>
      </c>
      <c r="AX96" s="8" t="e">
        <f>AX94+AX95</f>
      </c>
      <c r="AY96" s="8" t="e">
        <f>AY94+AY95</f>
      </c>
      <c r="AZ96" s="8" t="e">
        <f>AZ94+AZ95</f>
      </c>
      <c r="BA96" s="8" t="e">
        <f>BA94+BA95</f>
      </c>
      <c r="BB96" s="8" t="e">
        <f>BB94+BB95</f>
      </c>
      <c r="BC96" s="8" t="e">
        <f>BC94+BC95</f>
      </c>
      <c r="BD96" s="8" t="e">
        <f>BD94+BD95</f>
      </c>
      <c r="BE96" s="8" t="e">
        <f>BE94+BE95</f>
      </c>
      <c r="BF96" s="8" t="e">
        <f>BF94+BF95</f>
      </c>
      <c r="BG96" s="8" t="e">
        <f>BG94+BG95</f>
      </c>
      <c r="BH96" s="8" t="e">
        <f>BH94+BH95</f>
      </c>
      <c r="BI96" s="8" t="e">
        <f>BI94+BI95</f>
      </c>
      <c r="BJ96" s="8" t="e">
        <f>BJ94+BJ95</f>
      </c>
      <c r="BK96" s="8" t="e">
        <f>BK94+BK95</f>
      </c>
      <c r="BL96" s="8" t="e">
        <f>O96</f>
      </c>
      <c r="BM96" s="8" t="e">
        <f>AA96</f>
      </c>
      <c r="BN96" s="8" t="e">
        <f>AM96</f>
      </c>
      <c r="BO96" s="8" t="e">
        <f>AY96</f>
      </c>
      <c r="BP96" s="8" t="e">
        <f>BK96</f>
      </c>
    </row>
    <row r="97">
      <c r="A97" t="str">
        <v>Prix mensuel par client Produit A</v>
      </c>
      <c r="B97" t="str">
        <v>€</v>
      </c>
      <c r="D97" s="1" t="e">
        <f>'Hypothèses'!$D$11*(1+'Hypothèses'!$D$13)^INT((1-1)/12)</f>
      </c>
      <c r="E97" s="1" t="e">
        <f>'Hypothèses'!$D$11*(1+'Hypothèses'!$D$13)^INT((2-1)/12)</f>
      </c>
      <c r="F97" s="1" t="e">
        <f>'Hypothèses'!$D$11*(1+'Hypothèses'!$D$13)^INT((3-1)/12)</f>
      </c>
      <c r="G97" s="1" t="e">
        <f>'Hypothèses'!$D$11*(1+'Hypothèses'!$D$13)^INT((4-1)/12)</f>
      </c>
      <c r="H97" s="1" t="e">
        <f>'Hypothèses'!$D$11*(1+'Hypothèses'!$D$13)^INT((5-1)/12)</f>
      </c>
      <c r="I97" s="1" t="e">
        <f>'Hypothèses'!$D$11*(1+'Hypothèses'!$D$13)^INT((6-1)/12)</f>
      </c>
      <c r="J97" s="1" t="e">
        <f>'Hypothèses'!$D$11*(1+'Hypothèses'!$D$13)^INT((7-1)/12)</f>
      </c>
      <c r="K97" s="1" t="e">
        <f>'Hypothèses'!$D$11*(1+'Hypothèses'!$D$13)^INT((8-1)/12)</f>
      </c>
      <c r="L97" s="1" t="e">
        <f>'Hypothèses'!$D$11*(1+'Hypothèses'!$D$13)^INT((9-1)/12)</f>
      </c>
      <c r="M97" s="1" t="e">
        <f>'Hypothèses'!$D$11*(1+'Hypothèses'!$D$13)^INT((10-1)/12)</f>
      </c>
      <c r="N97" s="1" t="e">
        <f>'Hypothèses'!$D$11*(1+'Hypothèses'!$D$13)^INT((11-1)/12)</f>
      </c>
      <c r="O97" s="1" t="e">
        <f>'Hypothèses'!$D$11*(1+'Hypothèses'!$D$13)^INT((12-1)/12)</f>
      </c>
      <c r="P97" s="1" t="e">
        <f>'Hypothèses'!$D$11*(1+'Hypothèses'!$D$13)^INT((13-1)/12)</f>
      </c>
      <c r="Q97" s="1" t="e">
        <f>'Hypothèses'!$D$11*(1+'Hypothèses'!$D$13)^INT((14-1)/12)</f>
      </c>
      <c r="R97" s="1" t="e">
        <f>'Hypothèses'!$D$11*(1+'Hypothèses'!$D$13)^INT((15-1)/12)</f>
      </c>
      <c r="S97" s="1" t="e">
        <f>'Hypothèses'!$D$11*(1+'Hypothèses'!$D$13)^INT((16-1)/12)</f>
      </c>
      <c r="T97" s="1" t="e">
        <f>'Hypothèses'!$D$11*(1+'Hypothèses'!$D$13)^INT((17-1)/12)</f>
      </c>
      <c r="U97" s="1" t="e">
        <f>'Hypothèses'!$D$11*(1+'Hypothèses'!$D$13)^INT((18-1)/12)</f>
      </c>
      <c r="V97" s="1" t="e">
        <f>'Hypothèses'!$D$11*(1+'Hypothèses'!$D$13)^INT((19-1)/12)</f>
      </c>
      <c r="W97" s="1" t="e">
        <f>'Hypothèses'!$D$11*(1+'Hypothèses'!$D$13)^INT((20-1)/12)</f>
      </c>
      <c r="X97" s="1" t="e">
        <f>'Hypothèses'!$D$11*(1+'Hypothèses'!$D$13)^INT((21-1)/12)</f>
      </c>
      <c r="Y97" s="1" t="e">
        <f>'Hypothèses'!$D$11*(1+'Hypothèses'!$D$13)^INT((22-1)/12)</f>
      </c>
      <c r="Z97" s="1" t="e">
        <f>'Hypothèses'!$D$11*(1+'Hypothèses'!$D$13)^INT((23-1)/12)</f>
      </c>
      <c r="AA97" s="1" t="e">
        <f>'Hypothèses'!$D$11*(1+'Hypothèses'!$D$13)^INT((24-1)/12)</f>
      </c>
      <c r="AB97" s="1" t="e">
        <f>'Hypothèses'!$D$11*(1+'Hypothèses'!$D$13)^INT((25-1)/12)</f>
      </c>
      <c r="AC97" s="1" t="e">
        <f>'Hypothèses'!$D$11*(1+'Hypothèses'!$D$13)^INT((26-1)/12)</f>
      </c>
      <c r="AD97" s="1" t="e">
        <f>'Hypothèses'!$D$11*(1+'Hypothèses'!$D$13)^INT((27-1)/12)</f>
      </c>
      <c r="AE97" s="1" t="e">
        <f>'Hypothèses'!$D$11*(1+'Hypothèses'!$D$13)^INT((28-1)/12)</f>
      </c>
      <c r="AF97" s="1" t="e">
        <f>'Hypothèses'!$D$11*(1+'Hypothèses'!$D$13)^INT((29-1)/12)</f>
      </c>
      <c r="AG97" s="1" t="e">
        <f>'Hypothèses'!$D$11*(1+'Hypothèses'!$D$13)^INT((30-1)/12)</f>
      </c>
      <c r="AH97" s="1" t="e">
        <f>'Hypothèses'!$D$11*(1+'Hypothèses'!$D$13)^INT((31-1)/12)</f>
      </c>
      <c r="AI97" s="1" t="e">
        <f>'Hypothèses'!$D$11*(1+'Hypothèses'!$D$13)^INT((32-1)/12)</f>
      </c>
      <c r="AJ97" s="1" t="e">
        <f>'Hypothèses'!$D$11*(1+'Hypothèses'!$D$13)^INT((33-1)/12)</f>
      </c>
      <c r="AK97" s="1" t="e">
        <f>'Hypothèses'!$D$11*(1+'Hypothèses'!$D$13)^INT((34-1)/12)</f>
      </c>
      <c r="AL97" s="1" t="e">
        <f>'Hypothèses'!$D$11*(1+'Hypothèses'!$D$13)^INT((35-1)/12)</f>
      </c>
      <c r="AM97" s="1" t="e">
        <f>'Hypothèses'!$D$11*(1+'Hypothèses'!$D$13)^INT((36-1)/12)</f>
      </c>
      <c r="AN97" s="1" t="e">
        <f>'Hypothèses'!$D$11*(1+'Hypothèses'!$D$13)^INT((37-1)/12)</f>
      </c>
      <c r="AO97" s="1" t="e">
        <f>'Hypothèses'!$D$11*(1+'Hypothèses'!$D$13)^INT((38-1)/12)</f>
      </c>
      <c r="AP97" s="1" t="e">
        <f>'Hypothèses'!$D$11*(1+'Hypothèses'!$D$13)^INT((39-1)/12)</f>
      </c>
      <c r="AQ97" s="1" t="e">
        <f>'Hypothèses'!$D$11*(1+'Hypothèses'!$D$13)^INT((40-1)/12)</f>
      </c>
      <c r="AR97" s="1" t="e">
        <f>'Hypothèses'!$D$11*(1+'Hypothèses'!$D$13)^INT((41-1)/12)</f>
      </c>
      <c r="AS97" s="1" t="e">
        <f>'Hypothèses'!$D$11*(1+'Hypothèses'!$D$13)^INT((42-1)/12)</f>
      </c>
      <c r="AT97" s="1" t="e">
        <f>'Hypothèses'!$D$11*(1+'Hypothèses'!$D$13)^INT((43-1)/12)</f>
      </c>
      <c r="AU97" s="1" t="e">
        <f>'Hypothèses'!$D$11*(1+'Hypothèses'!$D$13)^INT((44-1)/12)</f>
      </c>
      <c r="AV97" s="1" t="e">
        <f>'Hypothèses'!$D$11*(1+'Hypothèses'!$D$13)^INT((45-1)/12)</f>
      </c>
      <c r="AW97" s="1" t="e">
        <f>'Hypothèses'!$D$11*(1+'Hypothèses'!$D$13)^INT((46-1)/12)</f>
      </c>
      <c r="AX97" s="1" t="e">
        <f>'Hypothèses'!$D$11*(1+'Hypothèses'!$D$13)^INT((47-1)/12)</f>
      </c>
      <c r="AY97" s="1" t="e">
        <f>'Hypothèses'!$D$11*(1+'Hypothèses'!$D$13)^INT((48-1)/12)</f>
      </c>
      <c r="AZ97" s="1" t="e">
        <f>'Hypothèses'!$D$11*(1+'Hypothèses'!$D$13)^INT((49-1)/12)</f>
      </c>
      <c r="BA97" s="1" t="e">
        <f>'Hypothèses'!$D$11*(1+'Hypothèses'!$D$13)^INT((50-1)/12)</f>
      </c>
      <c r="BB97" s="1" t="e">
        <f>'Hypothèses'!$D$11*(1+'Hypothèses'!$D$13)^INT((51-1)/12)</f>
      </c>
      <c r="BC97" s="1" t="e">
        <f>'Hypothèses'!$D$11*(1+'Hypothèses'!$D$13)^INT((52-1)/12)</f>
      </c>
      <c r="BD97" s="1" t="e">
        <f>'Hypothèses'!$D$11*(1+'Hypothèses'!$D$13)^INT((53-1)/12)</f>
      </c>
      <c r="BE97" s="1" t="e">
        <f>'Hypothèses'!$D$11*(1+'Hypothèses'!$D$13)^INT((54-1)/12)</f>
      </c>
      <c r="BF97" s="1" t="e">
        <f>'Hypothèses'!$D$11*(1+'Hypothèses'!$D$13)^INT((55-1)/12)</f>
      </c>
      <c r="BG97" s="1" t="e">
        <f>'Hypothèses'!$D$11*(1+'Hypothèses'!$D$13)^INT((56-1)/12)</f>
      </c>
      <c r="BH97" s="1" t="e">
        <f>'Hypothèses'!$D$11*(1+'Hypothèses'!$D$13)^INT((57-1)/12)</f>
      </c>
      <c r="BI97" s="1" t="e">
        <f>'Hypothèses'!$D$11*(1+'Hypothèses'!$D$13)^INT((58-1)/12)</f>
      </c>
      <c r="BJ97" s="1" t="e">
        <f>'Hypothèses'!$D$11*(1+'Hypothèses'!$D$13)^INT((59-1)/12)</f>
      </c>
      <c r="BK97" s="1" t="e">
        <f>'Hypothèses'!$D$11*(1+'Hypothèses'!$D$13)^INT((60-1)/12)</f>
      </c>
      <c r="BL97" s="1" t="e">
        <f>O97</f>
      </c>
      <c r="BM97" s="1" t="e">
        <f>AA97</f>
      </c>
      <c r="BN97" s="1" t="e">
        <f>AM97</f>
      </c>
      <c r="BO97" s="1" t="e">
        <f>AY97</f>
      </c>
      <c r="BP97" s="1" t="e">
        <f>BK97</f>
      </c>
    </row>
    <row r="98">
      <c r="A98" t="str">
        <v>Prix mensuel par client Produit B</v>
      </c>
      <c r="B98" t="str">
        <v>€</v>
      </c>
      <c r="D98" s="1" t="e">
        <f>'Hypothèses'!$D$12*(1+'Hypothèses'!$D$13)^INT((1-1)/12)</f>
      </c>
      <c r="E98" s="1" t="e">
        <f>'Hypothèses'!$D$12*(1+'Hypothèses'!$D$13)^INT((2-1)/12)</f>
      </c>
      <c r="F98" s="1" t="e">
        <f>'Hypothèses'!$D$12*(1+'Hypothèses'!$D$13)^INT((3-1)/12)</f>
      </c>
      <c r="G98" s="1" t="e">
        <f>'Hypothèses'!$D$12*(1+'Hypothèses'!$D$13)^INT((4-1)/12)</f>
      </c>
      <c r="H98" s="1" t="e">
        <f>'Hypothèses'!$D$12*(1+'Hypothèses'!$D$13)^INT((5-1)/12)</f>
      </c>
      <c r="I98" s="1" t="e">
        <f>'Hypothèses'!$D$12*(1+'Hypothèses'!$D$13)^INT((6-1)/12)</f>
      </c>
      <c r="J98" s="1" t="e">
        <f>'Hypothèses'!$D$12*(1+'Hypothèses'!$D$13)^INT((7-1)/12)</f>
      </c>
      <c r="K98" s="1" t="e">
        <f>'Hypothèses'!$D$12*(1+'Hypothèses'!$D$13)^INT((8-1)/12)</f>
      </c>
      <c r="L98" s="1" t="e">
        <f>'Hypothèses'!$D$12*(1+'Hypothèses'!$D$13)^INT((9-1)/12)</f>
      </c>
      <c r="M98" s="1" t="e">
        <f>'Hypothèses'!$D$12*(1+'Hypothèses'!$D$13)^INT((10-1)/12)</f>
      </c>
      <c r="N98" s="1" t="e">
        <f>'Hypothèses'!$D$12*(1+'Hypothèses'!$D$13)^INT((11-1)/12)</f>
      </c>
      <c r="O98" s="1" t="e">
        <f>'Hypothèses'!$D$12*(1+'Hypothèses'!$D$13)^INT((12-1)/12)</f>
      </c>
      <c r="P98" s="1" t="e">
        <f>'Hypothèses'!$D$12*(1+'Hypothèses'!$D$13)^INT((13-1)/12)</f>
      </c>
      <c r="Q98" s="1" t="e">
        <f>'Hypothèses'!$D$12*(1+'Hypothèses'!$D$13)^INT((14-1)/12)</f>
      </c>
      <c r="R98" s="1" t="e">
        <f>'Hypothèses'!$D$12*(1+'Hypothèses'!$D$13)^INT((15-1)/12)</f>
      </c>
      <c r="S98" s="1" t="e">
        <f>'Hypothèses'!$D$12*(1+'Hypothèses'!$D$13)^INT((16-1)/12)</f>
      </c>
      <c r="T98" s="1" t="e">
        <f>'Hypothèses'!$D$12*(1+'Hypothèses'!$D$13)^INT((17-1)/12)</f>
      </c>
      <c r="U98" s="1" t="e">
        <f>'Hypothèses'!$D$12*(1+'Hypothèses'!$D$13)^INT((18-1)/12)</f>
      </c>
      <c r="V98" s="1" t="e">
        <f>'Hypothèses'!$D$12*(1+'Hypothèses'!$D$13)^INT((19-1)/12)</f>
      </c>
      <c r="W98" s="1" t="e">
        <f>'Hypothèses'!$D$12*(1+'Hypothèses'!$D$13)^INT((20-1)/12)</f>
      </c>
      <c r="X98" s="1" t="e">
        <f>'Hypothèses'!$D$12*(1+'Hypothèses'!$D$13)^INT((21-1)/12)</f>
      </c>
      <c r="Y98" s="1" t="e">
        <f>'Hypothèses'!$D$12*(1+'Hypothèses'!$D$13)^INT((22-1)/12)</f>
      </c>
      <c r="Z98" s="1" t="e">
        <f>'Hypothèses'!$D$12*(1+'Hypothèses'!$D$13)^INT((23-1)/12)</f>
      </c>
      <c r="AA98" s="1" t="e">
        <f>'Hypothèses'!$D$12*(1+'Hypothèses'!$D$13)^INT((24-1)/12)</f>
      </c>
      <c r="AB98" s="1" t="e">
        <f>'Hypothèses'!$D$12*(1+'Hypothèses'!$D$13)^INT((25-1)/12)</f>
      </c>
      <c r="AC98" s="1" t="e">
        <f>'Hypothèses'!$D$12*(1+'Hypothèses'!$D$13)^INT((26-1)/12)</f>
      </c>
      <c r="AD98" s="1" t="e">
        <f>'Hypothèses'!$D$12*(1+'Hypothèses'!$D$13)^INT((27-1)/12)</f>
      </c>
      <c r="AE98" s="1" t="e">
        <f>'Hypothèses'!$D$12*(1+'Hypothèses'!$D$13)^INT((28-1)/12)</f>
      </c>
      <c r="AF98" s="1" t="e">
        <f>'Hypothèses'!$D$12*(1+'Hypothèses'!$D$13)^INT((29-1)/12)</f>
      </c>
      <c r="AG98" s="1" t="e">
        <f>'Hypothèses'!$D$12*(1+'Hypothèses'!$D$13)^INT((30-1)/12)</f>
      </c>
      <c r="AH98" s="1" t="e">
        <f>'Hypothèses'!$D$12*(1+'Hypothèses'!$D$13)^INT((31-1)/12)</f>
      </c>
      <c r="AI98" s="1" t="e">
        <f>'Hypothèses'!$D$12*(1+'Hypothèses'!$D$13)^INT((32-1)/12)</f>
      </c>
      <c r="AJ98" s="1" t="e">
        <f>'Hypothèses'!$D$12*(1+'Hypothèses'!$D$13)^INT((33-1)/12)</f>
      </c>
      <c r="AK98" s="1" t="e">
        <f>'Hypothèses'!$D$12*(1+'Hypothèses'!$D$13)^INT((34-1)/12)</f>
      </c>
      <c r="AL98" s="1" t="e">
        <f>'Hypothèses'!$D$12*(1+'Hypothèses'!$D$13)^INT((35-1)/12)</f>
      </c>
      <c r="AM98" s="1" t="e">
        <f>'Hypothèses'!$D$12*(1+'Hypothèses'!$D$13)^INT((36-1)/12)</f>
      </c>
      <c r="AN98" s="1" t="e">
        <f>'Hypothèses'!$D$12*(1+'Hypothèses'!$D$13)^INT((37-1)/12)</f>
      </c>
      <c r="AO98" s="1" t="e">
        <f>'Hypothèses'!$D$12*(1+'Hypothèses'!$D$13)^INT((38-1)/12)</f>
      </c>
      <c r="AP98" s="1" t="e">
        <f>'Hypothèses'!$D$12*(1+'Hypothèses'!$D$13)^INT((39-1)/12)</f>
      </c>
      <c r="AQ98" s="1" t="e">
        <f>'Hypothèses'!$D$12*(1+'Hypothèses'!$D$13)^INT((40-1)/12)</f>
      </c>
      <c r="AR98" s="1" t="e">
        <f>'Hypothèses'!$D$12*(1+'Hypothèses'!$D$13)^INT((41-1)/12)</f>
      </c>
      <c r="AS98" s="1" t="e">
        <f>'Hypothèses'!$D$12*(1+'Hypothèses'!$D$13)^INT((42-1)/12)</f>
      </c>
      <c r="AT98" s="1" t="e">
        <f>'Hypothèses'!$D$12*(1+'Hypothèses'!$D$13)^INT((43-1)/12)</f>
      </c>
      <c r="AU98" s="1" t="e">
        <f>'Hypothèses'!$D$12*(1+'Hypothèses'!$D$13)^INT((44-1)/12)</f>
      </c>
      <c r="AV98" s="1" t="e">
        <f>'Hypothèses'!$D$12*(1+'Hypothèses'!$D$13)^INT((45-1)/12)</f>
      </c>
      <c r="AW98" s="1" t="e">
        <f>'Hypothèses'!$D$12*(1+'Hypothèses'!$D$13)^INT((46-1)/12)</f>
      </c>
      <c r="AX98" s="1" t="e">
        <f>'Hypothèses'!$D$12*(1+'Hypothèses'!$D$13)^INT((47-1)/12)</f>
      </c>
      <c r="AY98" s="1" t="e">
        <f>'Hypothèses'!$D$12*(1+'Hypothèses'!$D$13)^INT((48-1)/12)</f>
      </c>
      <c r="AZ98" s="1" t="e">
        <f>'Hypothèses'!$D$12*(1+'Hypothèses'!$D$13)^INT((49-1)/12)</f>
      </c>
      <c r="BA98" s="1" t="e">
        <f>'Hypothèses'!$D$12*(1+'Hypothèses'!$D$13)^INT((50-1)/12)</f>
      </c>
      <c r="BB98" s="1" t="e">
        <f>'Hypothèses'!$D$12*(1+'Hypothèses'!$D$13)^INT((51-1)/12)</f>
      </c>
      <c r="BC98" s="1" t="e">
        <f>'Hypothèses'!$D$12*(1+'Hypothèses'!$D$13)^INT((52-1)/12)</f>
      </c>
      <c r="BD98" s="1" t="e">
        <f>'Hypothèses'!$D$12*(1+'Hypothèses'!$D$13)^INT((53-1)/12)</f>
      </c>
      <c r="BE98" s="1" t="e">
        <f>'Hypothèses'!$D$12*(1+'Hypothèses'!$D$13)^INT((54-1)/12)</f>
      </c>
      <c r="BF98" s="1" t="e">
        <f>'Hypothèses'!$D$12*(1+'Hypothèses'!$D$13)^INT((55-1)/12)</f>
      </c>
      <c r="BG98" s="1" t="e">
        <f>'Hypothèses'!$D$12*(1+'Hypothèses'!$D$13)^INT((56-1)/12)</f>
      </c>
      <c r="BH98" s="1" t="e">
        <f>'Hypothèses'!$D$12*(1+'Hypothèses'!$D$13)^INT((57-1)/12)</f>
      </c>
      <c r="BI98" s="1" t="e">
        <f>'Hypothèses'!$D$12*(1+'Hypothèses'!$D$13)^INT((58-1)/12)</f>
      </c>
      <c r="BJ98" s="1" t="e">
        <f>'Hypothèses'!$D$12*(1+'Hypothèses'!$D$13)^INT((59-1)/12)</f>
      </c>
      <c r="BK98" s="1" t="e">
        <f>'Hypothèses'!$D$12*(1+'Hypothèses'!$D$13)^INT((60-1)/12)</f>
      </c>
      <c r="BL98" s="1" t="e">
        <f>O98</f>
      </c>
      <c r="BM98" s="1" t="e">
        <f>AA98</f>
      </c>
      <c r="BN98" s="1" t="e">
        <f>AM98</f>
      </c>
      <c r="BO98" s="1" t="e">
        <f>AY98</f>
      </c>
      <c r="BP98" s="1" t="e">
        <f>BK98</f>
      </c>
    </row>
    <row r="99">
      <c r="A99" t="str">
        <v>MRR Produit A</v>
      </c>
      <c r="B99" t="str">
        <v>€</v>
      </c>
      <c r="D99" s="1" t="e">
        <f>D94*D97</f>
      </c>
      <c r="E99" s="1" t="e">
        <f>E94*E97</f>
      </c>
      <c r="F99" s="1" t="e">
        <f>F94*F97</f>
      </c>
      <c r="G99" s="1" t="e">
        <f>G94*G97</f>
      </c>
      <c r="H99" s="1" t="e">
        <f>H94*H97</f>
      </c>
      <c r="I99" s="1" t="e">
        <f>I94*I97</f>
      </c>
      <c r="J99" s="1" t="e">
        <f>J94*J97</f>
      </c>
      <c r="K99" s="1" t="e">
        <f>K94*K97</f>
      </c>
      <c r="L99" s="1" t="e">
        <f>L94*L97</f>
      </c>
      <c r="M99" s="1" t="e">
        <f>M94*M97</f>
      </c>
      <c r="N99" s="1" t="e">
        <f>N94*N97</f>
      </c>
      <c r="O99" s="1" t="e">
        <f>O94*O97</f>
      </c>
      <c r="P99" s="1" t="e">
        <f>P94*P97</f>
      </c>
      <c r="Q99" s="1" t="e">
        <f>Q94*Q97</f>
      </c>
      <c r="R99" s="1" t="e">
        <f>R94*R97</f>
      </c>
      <c r="S99" s="1" t="e">
        <f>S94*S97</f>
      </c>
      <c r="T99" s="1" t="e">
        <f>T94*T97</f>
      </c>
      <c r="U99" s="1" t="e">
        <f>U94*U97</f>
      </c>
      <c r="V99" s="1" t="e">
        <f>V94*V97</f>
      </c>
      <c r="W99" s="1" t="e">
        <f>W94*W97</f>
      </c>
      <c r="X99" s="1" t="e">
        <f>X94*X97</f>
      </c>
      <c r="Y99" s="1" t="e">
        <f>Y94*Y97</f>
      </c>
      <c r="Z99" s="1" t="e">
        <f>Z94*Z97</f>
      </c>
      <c r="AA99" s="1" t="e">
        <f>AA94*AA97</f>
      </c>
      <c r="AB99" s="1" t="e">
        <f>AB94*AB97</f>
      </c>
      <c r="AC99" s="1" t="e">
        <f>AC94*AC97</f>
      </c>
      <c r="AD99" s="1" t="e">
        <f>AD94*AD97</f>
      </c>
      <c r="AE99" s="1" t="e">
        <f>AE94*AE97</f>
      </c>
      <c r="AF99" s="1" t="e">
        <f>AF94*AF97</f>
      </c>
      <c r="AG99" s="1" t="e">
        <f>AG94*AG97</f>
      </c>
      <c r="AH99" s="1" t="e">
        <f>AH94*AH97</f>
      </c>
      <c r="AI99" s="1" t="e">
        <f>AI94*AI97</f>
      </c>
      <c r="AJ99" s="1" t="e">
        <f>AJ94*AJ97</f>
      </c>
      <c r="AK99" s="1" t="e">
        <f>AK94*AK97</f>
      </c>
      <c r="AL99" s="1" t="e">
        <f>AL94*AL97</f>
      </c>
      <c r="AM99" s="1" t="e">
        <f>AM94*AM97</f>
      </c>
      <c r="AN99" s="1" t="e">
        <f>AN94*AN97</f>
      </c>
      <c r="AO99" s="1" t="e">
        <f>AO94*AO97</f>
      </c>
      <c r="AP99" s="1" t="e">
        <f>AP94*AP97</f>
      </c>
      <c r="AQ99" s="1" t="e">
        <f>AQ94*AQ97</f>
      </c>
      <c r="AR99" s="1" t="e">
        <f>AR94*AR97</f>
      </c>
      <c r="AS99" s="1" t="e">
        <f>AS94*AS97</f>
      </c>
      <c r="AT99" s="1" t="e">
        <f>AT94*AT97</f>
      </c>
      <c r="AU99" s="1" t="e">
        <f>AU94*AU97</f>
      </c>
      <c r="AV99" s="1" t="e">
        <f>AV94*AV97</f>
      </c>
      <c r="AW99" s="1" t="e">
        <f>AW94*AW97</f>
      </c>
      <c r="AX99" s="1" t="e">
        <f>AX94*AX97</f>
      </c>
      <c r="AY99" s="1" t="e">
        <f>AY94*AY97</f>
      </c>
      <c r="AZ99" s="1" t="e">
        <f>AZ94*AZ97</f>
      </c>
      <c r="BA99" s="1" t="e">
        <f>BA94*BA97</f>
      </c>
      <c r="BB99" s="1" t="e">
        <f>BB94*BB97</f>
      </c>
      <c r="BC99" s="1" t="e">
        <f>BC94*BC97</f>
      </c>
      <c r="BD99" s="1" t="e">
        <f>BD94*BD97</f>
      </c>
      <c r="BE99" s="1" t="e">
        <f>BE94*BE97</f>
      </c>
      <c r="BF99" s="1" t="e">
        <f>BF94*BF97</f>
      </c>
      <c r="BG99" s="1" t="e">
        <f>BG94*BG97</f>
      </c>
      <c r="BH99" s="1" t="e">
        <f>BH94*BH97</f>
      </c>
      <c r="BI99" s="1" t="e">
        <f>BI94*BI97</f>
      </c>
      <c r="BJ99" s="1" t="e">
        <f>BJ94*BJ97</f>
      </c>
      <c r="BK99" s="1" t="e">
        <f>BK94*BK97</f>
      </c>
      <c r="BL99" s="1" t="e">
        <f>O99</f>
      </c>
      <c r="BM99" s="1" t="e">
        <f>AA99</f>
      </c>
      <c r="BN99" s="1" t="e">
        <f>AM99</f>
      </c>
      <c r="BO99" s="1" t="e">
        <f>AY99</f>
      </c>
      <c r="BP99" s="1" t="e">
        <f>BK99</f>
      </c>
    </row>
    <row r="100">
      <c r="A100" t="str">
        <v>MRR Produit B</v>
      </c>
      <c r="B100" t="str">
        <v>€</v>
      </c>
      <c r="D100" s="1" t="e">
        <f>D95*D98</f>
      </c>
      <c r="E100" s="1" t="e">
        <f>E95*E98</f>
      </c>
      <c r="F100" s="1" t="e">
        <f>F95*F98</f>
      </c>
      <c r="G100" s="1" t="e">
        <f>G95*G98</f>
      </c>
      <c r="H100" s="1" t="e">
        <f>H95*H98</f>
      </c>
      <c r="I100" s="1" t="e">
        <f>I95*I98</f>
      </c>
      <c r="J100" s="1" t="e">
        <f>J95*J98</f>
      </c>
      <c r="K100" s="1" t="e">
        <f>K95*K98</f>
      </c>
      <c r="L100" s="1" t="e">
        <f>L95*L98</f>
      </c>
      <c r="M100" s="1" t="e">
        <f>M95*M98</f>
      </c>
      <c r="N100" s="1" t="e">
        <f>N95*N98</f>
      </c>
      <c r="O100" s="1" t="e">
        <f>O95*O98</f>
      </c>
      <c r="P100" s="1" t="e">
        <f>P95*P98</f>
      </c>
      <c r="Q100" s="1" t="e">
        <f>Q95*Q98</f>
      </c>
      <c r="R100" s="1" t="e">
        <f>R95*R98</f>
      </c>
      <c r="S100" s="1" t="e">
        <f>S95*S98</f>
      </c>
      <c r="T100" s="1" t="e">
        <f>T95*T98</f>
      </c>
      <c r="U100" s="1" t="e">
        <f>U95*U98</f>
      </c>
      <c r="V100" s="1" t="e">
        <f>V95*V98</f>
      </c>
      <c r="W100" s="1" t="e">
        <f>W95*W98</f>
      </c>
      <c r="X100" s="1" t="e">
        <f>X95*X98</f>
      </c>
      <c r="Y100" s="1" t="e">
        <f>Y95*Y98</f>
      </c>
      <c r="Z100" s="1" t="e">
        <f>Z95*Z98</f>
      </c>
      <c r="AA100" s="1" t="e">
        <f>AA95*AA98</f>
      </c>
      <c r="AB100" s="1" t="e">
        <f>AB95*AB98</f>
      </c>
      <c r="AC100" s="1" t="e">
        <f>AC95*AC98</f>
      </c>
      <c r="AD100" s="1" t="e">
        <f>AD95*AD98</f>
      </c>
      <c r="AE100" s="1" t="e">
        <f>AE95*AE98</f>
      </c>
      <c r="AF100" s="1" t="e">
        <f>AF95*AF98</f>
      </c>
      <c r="AG100" s="1" t="e">
        <f>AG95*AG98</f>
      </c>
      <c r="AH100" s="1" t="e">
        <f>AH95*AH98</f>
      </c>
      <c r="AI100" s="1" t="e">
        <f>AI95*AI98</f>
      </c>
      <c r="AJ100" s="1" t="e">
        <f>AJ95*AJ98</f>
      </c>
      <c r="AK100" s="1" t="e">
        <f>AK95*AK98</f>
      </c>
      <c r="AL100" s="1" t="e">
        <f>AL95*AL98</f>
      </c>
      <c r="AM100" s="1" t="e">
        <f>AM95*AM98</f>
      </c>
      <c r="AN100" s="1" t="e">
        <f>AN95*AN98</f>
      </c>
      <c r="AO100" s="1" t="e">
        <f>AO95*AO98</f>
      </c>
      <c r="AP100" s="1" t="e">
        <f>AP95*AP98</f>
      </c>
      <c r="AQ100" s="1" t="e">
        <f>AQ95*AQ98</f>
      </c>
      <c r="AR100" s="1" t="e">
        <f>AR95*AR98</f>
      </c>
      <c r="AS100" s="1" t="e">
        <f>AS95*AS98</f>
      </c>
      <c r="AT100" s="1" t="e">
        <f>AT95*AT98</f>
      </c>
      <c r="AU100" s="1" t="e">
        <f>AU95*AU98</f>
      </c>
      <c r="AV100" s="1" t="e">
        <f>AV95*AV98</f>
      </c>
      <c r="AW100" s="1" t="e">
        <f>AW95*AW98</f>
      </c>
      <c r="AX100" s="1" t="e">
        <f>AX95*AX98</f>
      </c>
      <c r="AY100" s="1" t="e">
        <f>AY95*AY98</f>
      </c>
      <c r="AZ100" s="1" t="e">
        <f>AZ95*AZ98</f>
      </c>
      <c r="BA100" s="1" t="e">
        <f>BA95*BA98</f>
      </c>
      <c r="BB100" s="1" t="e">
        <f>BB95*BB98</f>
      </c>
      <c r="BC100" s="1" t="e">
        <f>BC95*BC98</f>
      </c>
      <c r="BD100" s="1" t="e">
        <f>BD95*BD98</f>
      </c>
      <c r="BE100" s="1" t="e">
        <f>BE95*BE98</f>
      </c>
      <c r="BF100" s="1" t="e">
        <f>BF95*BF98</f>
      </c>
      <c r="BG100" s="1" t="e">
        <f>BG95*BG98</f>
      </c>
      <c r="BH100" s="1" t="e">
        <f>BH95*BH98</f>
      </c>
      <c r="BI100" s="1" t="e">
        <f>BI95*BI98</f>
      </c>
      <c r="BJ100" s="1" t="e">
        <f>BJ95*BJ98</f>
      </c>
      <c r="BK100" s="1" t="e">
        <f>BK95*BK98</f>
      </c>
      <c r="BL100" s="1" t="e">
        <f>O100</f>
      </c>
      <c r="BM100" s="1" t="e">
        <f>AA100</f>
      </c>
      <c r="BN100" s="1" t="e">
        <f>AM100</f>
      </c>
      <c r="BO100" s="1" t="e">
        <f>AY100</f>
      </c>
      <c r="BP100" s="1" t="e">
        <f>BK100</f>
      </c>
    </row>
    <row r="101">
      <c r="A101" t="str">
        <v>MRR total</v>
      </c>
      <c r="B101" t="str">
        <v>€</v>
      </c>
      <c r="D101" s="1" t="e">
        <f>D99+D100</f>
      </c>
      <c r="E101" s="1" t="e">
        <f>E99+E100</f>
      </c>
      <c r="F101" s="1" t="e">
        <f>F99+F100</f>
      </c>
      <c r="G101" s="1" t="e">
        <f>G99+G100</f>
      </c>
      <c r="H101" s="1" t="e">
        <f>H99+H100</f>
      </c>
      <c r="I101" s="1" t="e">
        <f>I99+I100</f>
      </c>
      <c r="J101" s="1" t="e">
        <f>J99+J100</f>
      </c>
      <c r="K101" s="1" t="e">
        <f>K99+K100</f>
      </c>
      <c r="L101" s="1" t="e">
        <f>L99+L100</f>
      </c>
      <c r="M101" s="1" t="e">
        <f>M99+M100</f>
      </c>
      <c r="N101" s="1" t="e">
        <f>N99+N100</f>
      </c>
      <c r="O101" s="1" t="e">
        <f>O99+O100</f>
      </c>
      <c r="P101" s="1" t="e">
        <f>P99+P100</f>
      </c>
      <c r="Q101" s="1" t="e">
        <f>Q99+Q100</f>
      </c>
      <c r="R101" s="1" t="e">
        <f>R99+R100</f>
      </c>
      <c r="S101" s="1" t="e">
        <f>S99+S100</f>
      </c>
      <c r="T101" s="1" t="e">
        <f>T99+T100</f>
      </c>
      <c r="U101" s="1" t="e">
        <f>U99+U100</f>
      </c>
      <c r="V101" s="1" t="e">
        <f>V99+V100</f>
      </c>
      <c r="W101" s="1" t="e">
        <f>W99+W100</f>
      </c>
      <c r="X101" s="1" t="e">
        <f>X99+X100</f>
      </c>
      <c r="Y101" s="1" t="e">
        <f>Y99+Y100</f>
      </c>
      <c r="Z101" s="1" t="e">
        <f>Z99+Z100</f>
      </c>
      <c r="AA101" s="1" t="e">
        <f>AA99+AA100</f>
      </c>
      <c r="AB101" s="1" t="e">
        <f>AB99+AB100</f>
      </c>
      <c r="AC101" s="1" t="e">
        <f>AC99+AC100</f>
      </c>
      <c r="AD101" s="1" t="e">
        <f>AD99+AD100</f>
      </c>
      <c r="AE101" s="1" t="e">
        <f>AE99+AE100</f>
      </c>
      <c r="AF101" s="1" t="e">
        <f>AF99+AF100</f>
      </c>
      <c r="AG101" s="1" t="e">
        <f>AG99+AG100</f>
      </c>
      <c r="AH101" s="1" t="e">
        <f>AH99+AH100</f>
      </c>
      <c r="AI101" s="1" t="e">
        <f>AI99+AI100</f>
      </c>
      <c r="AJ101" s="1" t="e">
        <f>AJ99+AJ100</f>
      </c>
      <c r="AK101" s="1" t="e">
        <f>AK99+AK100</f>
      </c>
      <c r="AL101" s="1" t="e">
        <f>AL99+AL100</f>
      </c>
      <c r="AM101" s="1" t="e">
        <f>AM99+AM100</f>
      </c>
      <c r="AN101" s="1" t="e">
        <f>AN99+AN100</f>
      </c>
      <c r="AO101" s="1" t="e">
        <f>AO99+AO100</f>
      </c>
      <c r="AP101" s="1" t="e">
        <f>AP99+AP100</f>
      </c>
      <c r="AQ101" s="1" t="e">
        <f>AQ99+AQ100</f>
      </c>
      <c r="AR101" s="1" t="e">
        <f>AR99+AR100</f>
      </c>
      <c r="AS101" s="1" t="e">
        <f>AS99+AS100</f>
      </c>
      <c r="AT101" s="1" t="e">
        <f>AT99+AT100</f>
      </c>
      <c r="AU101" s="1" t="e">
        <f>AU99+AU100</f>
      </c>
      <c r="AV101" s="1" t="e">
        <f>AV99+AV100</f>
      </c>
      <c r="AW101" s="1" t="e">
        <f>AW99+AW100</f>
      </c>
      <c r="AX101" s="1" t="e">
        <f>AX99+AX100</f>
      </c>
      <c r="AY101" s="1" t="e">
        <f>AY99+AY100</f>
      </c>
      <c r="AZ101" s="1" t="e">
        <f>AZ99+AZ100</f>
      </c>
      <c r="BA101" s="1" t="e">
        <f>BA99+BA100</f>
      </c>
      <c r="BB101" s="1" t="e">
        <f>BB99+BB100</f>
      </c>
      <c r="BC101" s="1" t="e">
        <f>BC99+BC100</f>
      </c>
      <c r="BD101" s="1" t="e">
        <f>BD99+BD100</f>
      </c>
      <c r="BE101" s="1" t="e">
        <f>BE99+BE100</f>
      </c>
      <c r="BF101" s="1" t="e">
        <f>BF99+BF100</f>
      </c>
      <c r="BG101" s="1" t="e">
        <f>BG99+BG100</f>
      </c>
      <c r="BH101" s="1" t="e">
        <f>BH99+BH100</f>
      </c>
      <c r="BI101" s="1" t="e">
        <f>BI99+BI100</f>
      </c>
      <c r="BJ101" s="1" t="e">
        <f>BJ99+BJ100</f>
      </c>
      <c r="BK101" s="1" t="e">
        <f>BK99+BK100</f>
      </c>
      <c r="BL101" s="1" t="e">
        <f>O101</f>
      </c>
      <c r="BM101" s="1" t="e">
        <f>AA101</f>
      </c>
      <c r="BN101" s="1" t="e">
        <f>AM101</f>
      </c>
      <c r="BO101" s="1" t="e">
        <f>AY101</f>
      </c>
      <c r="BP101" s="1" t="e">
        <f>BK101</f>
      </c>
    </row>
    <row r="102">
      <c r="A102" t="str">
        <v>Revenu mensuel moyen par client</v>
      </c>
      <c r="B102" t="str">
        <v>€</v>
      </c>
      <c r="D102" s="1" t="e">
        <f>IF(D96=0,0,D101/D96)</f>
      </c>
      <c r="E102" s="1" t="e">
        <f>IF(E96=0,0,E101/E96)</f>
      </c>
      <c r="F102" s="1" t="e">
        <f>IF(F96=0,0,F101/F96)</f>
      </c>
      <c r="G102" s="1" t="e">
        <f>IF(G96=0,0,G101/G96)</f>
      </c>
      <c r="H102" s="1" t="e">
        <f>IF(H96=0,0,H101/H96)</f>
      </c>
      <c r="I102" s="1" t="e">
        <f>IF(I96=0,0,I101/I96)</f>
      </c>
      <c r="J102" s="1" t="e">
        <f>IF(J96=0,0,J101/J96)</f>
      </c>
      <c r="K102" s="1" t="e">
        <f>IF(K96=0,0,K101/K96)</f>
      </c>
      <c r="L102" s="1" t="e">
        <f>IF(L96=0,0,L101/L96)</f>
      </c>
      <c r="M102" s="1" t="e">
        <f>IF(M96=0,0,M101/M96)</f>
      </c>
      <c r="N102" s="1" t="e">
        <f>IF(N96=0,0,N101/N96)</f>
      </c>
      <c r="O102" s="1" t="e">
        <f>IF(O96=0,0,O101/O96)</f>
      </c>
      <c r="P102" s="1" t="e">
        <f>IF(P96=0,0,P101/P96)</f>
      </c>
      <c r="Q102" s="1" t="e">
        <f>IF(Q96=0,0,Q101/Q96)</f>
      </c>
      <c r="R102" s="1" t="e">
        <f>IF(R96=0,0,R101/R96)</f>
      </c>
      <c r="S102" s="1" t="e">
        <f>IF(S96=0,0,S101/S96)</f>
      </c>
      <c r="T102" s="1" t="e">
        <f>IF(T96=0,0,T101/T96)</f>
      </c>
      <c r="U102" s="1" t="e">
        <f>IF(U96=0,0,U101/U96)</f>
      </c>
      <c r="V102" s="1" t="e">
        <f>IF(V96=0,0,V101/V96)</f>
      </c>
      <c r="W102" s="1" t="e">
        <f>IF(W96=0,0,W101/W96)</f>
      </c>
      <c r="X102" s="1" t="e">
        <f>IF(X96=0,0,X101/X96)</f>
      </c>
      <c r="Y102" s="1" t="e">
        <f>IF(Y96=0,0,Y101/Y96)</f>
      </c>
      <c r="Z102" s="1" t="e">
        <f>IF(Z96=0,0,Z101/Z96)</f>
      </c>
      <c r="AA102" s="1" t="e">
        <f>IF(AA96=0,0,AA101/AA96)</f>
      </c>
      <c r="AB102" s="1" t="e">
        <f>IF(AB96=0,0,AB101/AB96)</f>
      </c>
      <c r="AC102" s="1" t="e">
        <f>IF(AC96=0,0,AC101/AC96)</f>
      </c>
      <c r="AD102" s="1" t="e">
        <f>IF(AD96=0,0,AD101/AD96)</f>
      </c>
      <c r="AE102" s="1" t="e">
        <f>IF(AE96=0,0,AE101/AE96)</f>
      </c>
      <c r="AF102" s="1" t="e">
        <f>IF(AF96=0,0,AF101/AF96)</f>
      </c>
      <c r="AG102" s="1" t="e">
        <f>IF(AG96=0,0,AG101/AG96)</f>
      </c>
      <c r="AH102" s="1" t="e">
        <f>IF(AH96=0,0,AH101/AH96)</f>
      </c>
      <c r="AI102" s="1" t="e">
        <f>IF(AI96=0,0,AI101/AI96)</f>
      </c>
      <c r="AJ102" s="1" t="e">
        <f>IF(AJ96=0,0,AJ101/AJ96)</f>
      </c>
      <c r="AK102" s="1" t="e">
        <f>IF(AK96=0,0,AK101/AK96)</f>
      </c>
      <c r="AL102" s="1" t="e">
        <f>IF(AL96=0,0,AL101/AL96)</f>
      </c>
      <c r="AM102" s="1" t="e">
        <f>IF(AM96=0,0,AM101/AM96)</f>
      </c>
      <c r="AN102" s="1" t="e">
        <f>IF(AN96=0,0,AN101/AN96)</f>
      </c>
      <c r="AO102" s="1" t="e">
        <f>IF(AO96=0,0,AO101/AO96)</f>
      </c>
      <c r="AP102" s="1" t="e">
        <f>IF(AP96=0,0,AP101/AP96)</f>
      </c>
      <c r="AQ102" s="1" t="e">
        <f>IF(AQ96=0,0,AQ101/AQ96)</f>
      </c>
      <c r="AR102" s="1" t="e">
        <f>IF(AR96=0,0,AR101/AR96)</f>
      </c>
      <c r="AS102" s="1" t="e">
        <f>IF(AS96=0,0,AS101/AS96)</f>
      </c>
      <c r="AT102" s="1" t="e">
        <f>IF(AT96=0,0,AT101/AT96)</f>
      </c>
      <c r="AU102" s="1" t="e">
        <f>IF(AU96=0,0,AU101/AU96)</f>
      </c>
      <c r="AV102" s="1" t="e">
        <f>IF(AV96=0,0,AV101/AV96)</f>
      </c>
      <c r="AW102" s="1" t="e">
        <f>IF(AW96=0,0,AW101/AW96)</f>
      </c>
      <c r="AX102" s="1" t="e">
        <f>IF(AX96=0,0,AX101/AX96)</f>
      </c>
      <c r="AY102" s="1" t="e">
        <f>IF(AY96=0,0,AY101/AY96)</f>
      </c>
      <c r="AZ102" s="1" t="e">
        <f>IF(AZ96=0,0,AZ101/AZ96)</f>
      </c>
      <c r="BA102" s="1" t="e">
        <f>IF(BA96=0,0,BA101/BA96)</f>
      </c>
      <c r="BB102" s="1" t="e">
        <f>IF(BB96=0,0,BB101/BB96)</f>
      </c>
      <c r="BC102" s="1" t="e">
        <f>IF(BC96=0,0,BC101/BC96)</f>
      </c>
      <c r="BD102" s="1" t="e">
        <f>IF(BD96=0,0,BD101/BD96)</f>
      </c>
      <c r="BE102" s="1" t="e">
        <f>IF(BE96=0,0,BE101/BE96)</f>
      </c>
      <c r="BF102" s="1" t="e">
        <f>IF(BF96=0,0,BF101/BF96)</f>
      </c>
      <c r="BG102" s="1" t="e">
        <f>IF(BG96=0,0,BG101/BG96)</f>
      </c>
      <c r="BH102" s="1" t="e">
        <f>IF(BH96=0,0,BH101/BH96)</f>
      </c>
      <c r="BI102" s="1" t="e">
        <f>IF(BI96=0,0,BI101/BI96)</f>
      </c>
      <c r="BJ102" s="1" t="e">
        <f>IF(BJ96=0,0,BJ101/BJ96)</f>
      </c>
      <c r="BK102" s="1" t="e">
        <f>IF(BK96=0,0,BK101/BK96)</f>
      </c>
      <c r="BL102" s="1" t="e">
        <f>AVERAGE(D102:O102)</f>
      </c>
      <c r="BM102" s="1" t="e">
        <f>AVERAGE(P102:AA102)</f>
      </c>
      <c r="BN102" s="1" t="e">
        <f>AVERAGE(AB102:AM102)</f>
      </c>
      <c r="BO102" s="1" t="e">
        <f>AVERAGE(AN102:AY102)</f>
      </c>
      <c r="BP102" s="1" t="e">
        <f>AVERAGE(AZ102:BK102)</f>
      </c>
    </row>
    <row r="103">
      <c r="A103" t="str">
        <v>Mises en service</v>
      </c>
      <c r="B103" t="str">
        <v>€</v>
      </c>
      <c r="D103" s="1" t="e">
        <f>(D91+D92)*'Hypothèses'!$D$16</f>
      </c>
      <c r="E103" s="1" t="e">
        <f>(E91+E92)*'Hypothèses'!$D$16</f>
      </c>
      <c r="F103" s="1" t="e">
        <f>(F91+F92)*'Hypothèses'!$D$16</f>
      </c>
      <c r="G103" s="1" t="e">
        <f>(G91+G92)*'Hypothèses'!$D$16</f>
      </c>
      <c r="H103" s="1" t="e">
        <f>(H91+H92)*'Hypothèses'!$D$16</f>
      </c>
      <c r="I103" s="1" t="e">
        <f>(I91+I92)*'Hypothèses'!$D$16</f>
      </c>
      <c r="J103" s="1" t="e">
        <f>(J91+J92)*'Hypothèses'!$D$16</f>
      </c>
      <c r="K103" s="1" t="e">
        <f>(K91+K92)*'Hypothèses'!$D$16</f>
      </c>
      <c r="L103" s="1" t="e">
        <f>(L91+L92)*'Hypothèses'!$D$16</f>
      </c>
      <c r="M103" s="1" t="e">
        <f>(M91+M92)*'Hypothèses'!$D$16</f>
      </c>
      <c r="N103" s="1" t="e">
        <f>(N91+N92)*'Hypothèses'!$D$16</f>
      </c>
      <c r="O103" s="1" t="e">
        <f>(O91+O92)*'Hypothèses'!$D$16</f>
      </c>
      <c r="P103" s="1" t="e">
        <f>(P91+P92)*'Hypothèses'!$D$16</f>
      </c>
      <c r="Q103" s="1" t="e">
        <f>(Q91+Q92)*'Hypothèses'!$D$16</f>
      </c>
      <c r="R103" s="1" t="e">
        <f>(R91+R92)*'Hypothèses'!$D$16</f>
      </c>
      <c r="S103" s="1" t="e">
        <f>(S91+S92)*'Hypothèses'!$D$16</f>
      </c>
      <c r="T103" s="1" t="e">
        <f>(T91+T92)*'Hypothèses'!$D$16</f>
      </c>
      <c r="U103" s="1" t="e">
        <f>(U91+U92)*'Hypothèses'!$D$16</f>
      </c>
      <c r="V103" s="1" t="e">
        <f>(V91+V92)*'Hypothèses'!$D$16</f>
      </c>
      <c r="W103" s="1" t="e">
        <f>(W91+W92)*'Hypothèses'!$D$16</f>
      </c>
      <c r="X103" s="1" t="e">
        <f>(X91+X92)*'Hypothèses'!$D$16</f>
      </c>
      <c r="Y103" s="1" t="e">
        <f>(Y91+Y92)*'Hypothèses'!$D$16</f>
      </c>
      <c r="Z103" s="1" t="e">
        <f>(Z91+Z92)*'Hypothèses'!$D$16</f>
      </c>
      <c r="AA103" s="1" t="e">
        <f>(AA91+AA92)*'Hypothèses'!$D$16</f>
      </c>
      <c r="AB103" s="1" t="e">
        <f>(AB91+AB92)*'Hypothèses'!$D$16</f>
      </c>
      <c r="AC103" s="1" t="e">
        <f>(AC91+AC92)*'Hypothèses'!$D$16</f>
      </c>
      <c r="AD103" s="1" t="e">
        <f>(AD91+AD92)*'Hypothèses'!$D$16</f>
      </c>
      <c r="AE103" s="1" t="e">
        <f>(AE91+AE92)*'Hypothèses'!$D$16</f>
      </c>
      <c r="AF103" s="1" t="e">
        <f>(AF91+AF92)*'Hypothèses'!$D$16</f>
      </c>
      <c r="AG103" s="1" t="e">
        <f>(AG91+AG92)*'Hypothèses'!$D$16</f>
      </c>
      <c r="AH103" s="1" t="e">
        <f>(AH91+AH92)*'Hypothèses'!$D$16</f>
      </c>
      <c r="AI103" s="1" t="e">
        <f>(AI91+AI92)*'Hypothèses'!$D$16</f>
      </c>
      <c r="AJ103" s="1" t="e">
        <f>(AJ91+AJ92)*'Hypothèses'!$D$16</f>
      </c>
      <c r="AK103" s="1" t="e">
        <f>(AK91+AK92)*'Hypothèses'!$D$16</f>
      </c>
      <c r="AL103" s="1" t="e">
        <f>(AL91+AL92)*'Hypothèses'!$D$16</f>
      </c>
      <c r="AM103" s="1" t="e">
        <f>(AM91+AM92)*'Hypothèses'!$D$16</f>
      </c>
      <c r="AN103" s="1" t="e">
        <f>(AN91+AN92)*'Hypothèses'!$D$16</f>
      </c>
      <c r="AO103" s="1" t="e">
        <f>(AO91+AO92)*'Hypothèses'!$D$16</f>
      </c>
      <c r="AP103" s="1" t="e">
        <f>(AP91+AP92)*'Hypothèses'!$D$16</f>
      </c>
      <c r="AQ103" s="1" t="e">
        <f>(AQ91+AQ92)*'Hypothèses'!$D$16</f>
      </c>
      <c r="AR103" s="1" t="e">
        <f>(AR91+AR92)*'Hypothèses'!$D$16</f>
      </c>
      <c r="AS103" s="1" t="e">
        <f>(AS91+AS92)*'Hypothèses'!$D$16</f>
      </c>
      <c r="AT103" s="1" t="e">
        <f>(AT91+AT92)*'Hypothèses'!$D$16</f>
      </c>
      <c r="AU103" s="1" t="e">
        <f>(AU91+AU92)*'Hypothèses'!$D$16</f>
      </c>
      <c r="AV103" s="1" t="e">
        <f>(AV91+AV92)*'Hypothèses'!$D$16</f>
      </c>
      <c r="AW103" s="1" t="e">
        <f>(AW91+AW92)*'Hypothèses'!$D$16</f>
      </c>
      <c r="AX103" s="1" t="e">
        <f>(AX91+AX92)*'Hypothèses'!$D$16</f>
      </c>
      <c r="AY103" s="1" t="e">
        <f>(AY91+AY92)*'Hypothèses'!$D$16</f>
      </c>
      <c r="AZ103" s="1" t="e">
        <f>(AZ91+AZ92)*'Hypothèses'!$D$16</f>
      </c>
      <c r="BA103" s="1" t="e">
        <f>(BA91+BA92)*'Hypothèses'!$D$16</f>
      </c>
      <c r="BB103" s="1" t="e">
        <f>(BB91+BB92)*'Hypothèses'!$D$16</f>
      </c>
      <c r="BC103" s="1" t="e">
        <f>(BC91+BC92)*'Hypothèses'!$D$16</f>
      </c>
      <c r="BD103" s="1" t="e">
        <f>(BD91+BD92)*'Hypothèses'!$D$16</f>
      </c>
      <c r="BE103" s="1" t="e">
        <f>(BE91+BE92)*'Hypothèses'!$D$16</f>
      </c>
      <c r="BF103" s="1" t="e">
        <f>(BF91+BF92)*'Hypothèses'!$D$16</f>
      </c>
      <c r="BG103" s="1" t="e">
        <f>(BG91+BG92)*'Hypothèses'!$D$16</f>
      </c>
      <c r="BH103" s="1" t="e">
        <f>(BH91+BH92)*'Hypothèses'!$D$16</f>
      </c>
      <c r="BI103" s="1" t="e">
        <f>(BI91+BI92)*'Hypothèses'!$D$16</f>
      </c>
      <c r="BJ103" s="1" t="e">
        <f>(BJ91+BJ92)*'Hypothèses'!$D$16</f>
      </c>
      <c r="BK103" s="1" t="e">
        <f>(BK91+BK92)*'Hypothèses'!$D$16</f>
      </c>
      <c r="BL103" s="1" t="e">
        <f>SUM(D103:O103)</f>
      </c>
      <c r="BM103" s="1" t="e">
        <f>SUM(P103:AA103)</f>
      </c>
      <c r="BN103" s="1" t="e">
        <f>SUM(AB103:AM103)</f>
      </c>
      <c r="BO103" s="1" t="e">
        <f>SUM(AN103:AY103)</f>
      </c>
      <c r="BP103" s="1" t="e">
        <f>SUM(AZ103:BK103)</f>
      </c>
    </row>
    <row r="104">
      <c r="A104" t="str">
        <v>Chiffre d'affaires HT</v>
      </c>
      <c r="B104" t="str">
        <v>€</v>
      </c>
      <c r="C104" s="1">
        <v>0</v>
      </c>
      <c r="D104" s="1" t="e">
        <f>D101+D103</f>
      </c>
      <c r="E104" s="1" t="e">
        <f>E101+E103</f>
      </c>
      <c r="F104" s="1" t="e">
        <f>F101+F103</f>
      </c>
      <c r="G104" s="1" t="e">
        <f>G101+G103</f>
      </c>
      <c r="H104" s="1" t="e">
        <f>H101+H103</f>
      </c>
      <c r="I104" s="1" t="e">
        <f>I101+I103</f>
      </c>
      <c r="J104" s="1" t="e">
        <f>J101+J103</f>
      </c>
      <c r="K104" s="1" t="e">
        <f>K101+K103</f>
      </c>
      <c r="L104" s="1" t="e">
        <f>L101+L103</f>
      </c>
      <c r="M104" s="1" t="e">
        <f>M101+M103</f>
      </c>
      <c r="N104" s="1" t="e">
        <f>N101+N103</f>
      </c>
      <c r="O104" s="1" t="e">
        <f>O101+O103</f>
      </c>
      <c r="P104" s="1" t="e">
        <f>P101+P103</f>
      </c>
      <c r="Q104" s="1" t="e">
        <f>Q101+Q103</f>
      </c>
      <c r="R104" s="1" t="e">
        <f>R101+R103</f>
      </c>
      <c r="S104" s="1" t="e">
        <f>S101+S103</f>
      </c>
      <c r="T104" s="1" t="e">
        <f>T101+T103</f>
      </c>
      <c r="U104" s="1" t="e">
        <f>U101+U103</f>
      </c>
      <c r="V104" s="1" t="e">
        <f>V101+V103</f>
      </c>
      <c r="W104" s="1" t="e">
        <f>W101+W103</f>
      </c>
      <c r="X104" s="1" t="e">
        <f>X101+X103</f>
      </c>
      <c r="Y104" s="1" t="e">
        <f>Y101+Y103</f>
      </c>
      <c r="Z104" s="1" t="e">
        <f>Z101+Z103</f>
      </c>
      <c r="AA104" s="1" t="e">
        <f>AA101+AA103</f>
      </c>
      <c r="AB104" s="1" t="e">
        <f>AB101+AB103</f>
      </c>
      <c r="AC104" s="1" t="e">
        <f>AC101+AC103</f>
      </c>
      <c r="AD104" s="1" t="e">
        <f>AD101+AD103</f>
      </c>
      <c r="AE104" s="1" t="e">
        <f>AE101+AE103</f>
      </c>
      <c r="AF104" s="1" t="e">
        <f>AF101+AF103</f>
      </c>
      <c r="AG104" s="1" t="e">
        <f>AG101+AG103</f>
      </c>
      <c r="AH104" s="1" t="e">
        <f>AH101+AH103</f>
      </c>
      <c r="AI104" s="1" t="e">
        <f>AI101+AI103</f>
      </c>
      <c r="AJ104" s="1" t="e">
        <f>AJ101+AJ103</f>
      </c>
      <c r="AK104" s="1" t="e">
        <f>AK101+AK103</f>
      </c>
      <c r="AL104" s="1" t="e">
        <f>AL101+AL103</f>
      </c>
      <c r="AM104" s="1" t="e">
        <f>AM101+AM103</f>
      </c>
      <c r="AN104" s="1" t="e">
        <f>AN101+AN103</f>
      </c>
      <c r="AO104" s="1" t="e">
        <f>AO101+AO103</f>
      </c>
      <c r="AP104" s="1" t="e">
        <f>AP101+AP103</f>
      </c>
      <c r="AQ104" s="1" t="e">
        <f>AQ101+AQ103</f>
      </c>
      <c r="AR104" s="1" t="e">
        <f>AR101+AR103</f>
      </c>
      <c r="AS104" s="1" t="e">
        <f>AS101+AS103</f>
      </c>
      <c r="AT104" s="1" t="e">
        <f>AT101+AT103</f>
      </c>
      <c r="AU104" s="1" t="e">
        <f>AU101+AU103</f>
      </c>
      <c r="AV104" s="1" t="e">
        <f>AV101+AV103</f>
      </c>
      <c r="AW104" s="1" t="e">
        <f>AW101+AW103</f>
      </c>
      <c r="AX104" s="1" t="e">
        <f>AX101+AX103</f>
      </c>
      <c r="AY104" s="1" t="e">
        <f>AY101+AY103</f>
      </c>
      <c r="AZ104" s="1" t="e">
        <f>AZ101+AZ103</f>
      </c>
      <c r="BA104" s="1" t="e">
        <f>BA101+BA103</f>
      </c>
      <c r="BB104" s="1" t="e">
        <f>BB101+BB103</f>
      </c>
      <c r="BC104" s="1" t="e">
        <f>BC101+BC103</f>
      </c>
      <c r="BD104" s="1" t="e">
        <f>BD101+BD103</f>
      </c>
      <c r="BE104" s="1" t="e">
        <f>BE101+BE103</f>
      </c>
      <c r="BF104" s="1" t="e">
        <f>BF101+BF103</f>
      </c>
      <c r="BG104" s="1" t="e">
        <f>BG101+BG103</f>
      </c>
      <c r="BH104" s="1" t="e">
        <f>BH101+BH103</f>
      </c>
      <c r="BI104" s="1" t="e">
        <f>BI101+BI103</f>
      </c>
      <c r="BJ104" s="1" t="e">
        <f>BJ101+BJ103</f>
      </c>
      <c r="BK104" s="1" t="e">
        <f>BK101+BK103</f>
      </c>
      <c r="BL104" s="1" t="e">
        <f>SUM(D104:O104)</f>
      </c>
      <c r="BM104" s="1" t="e">
        <f>SUM(P104:AA104)</f>
      </c>
      <c r="BN104" s="1" t="e">
        <f>SUM(AB104:AM104)</f>
      </c>
      <c r="BO104" s="1" t="e">
        <f>SUM(AN104:AY104)</f>
      </c>
      <c r="BP104" s="1" t="e">
        <f>SUM(AZ104:BK104)</f>
      </c>
    </row>
    <row r="106">
      <c r="A106" t="str">
        <v>3. Charges</v>
      </c>
    </row>
    <row r="107">
      <c r="A107" t="str">
        <v>Salaires commerciaux</v>
      </c>
      <c r="B107" t="str">
        <v>€</v>
      </c>
      <c r="D107" s="1" t="e">
        <f>D82*'Hypothèses'!$D$25</f>
      </c>
      <c r="E107" s="1" t="e">
        <f>E82*'Hypothèses'!$D$25</f>
      </c>
      <c r="F107" s="1" t="e">
        <f>F82*'Hypothèses'!$D$25</f>
      </c>
      <c r="G107" s="1" t="e">
        <f>G82*'Hypothèses'!$D$25</f>
      </c>
      <c r="H107" s="1" t="e">
        <f>H82*'Hypothèses'!$D$25</f>
      </c>
      <c r="I107" s="1" t="e">
        <f>I82*'Hypothèses'!$D$25</f>
      </c>
      <c r="J107" s="1" t="e">
        <f>J82*'Hypothèses'!$D$25</f>
      </c>
      <c r="K107" s="1" t="e">
        <f>K82*'Hypothèses'!$D$25</f>
      </c>
      <c r="L107" s="1" t="e">
        <f>L82*'Hypothèses'!$D$25</f>
      </c>
      <c r="M107" s="1" t="e">
        <f>M82*'Hypothèses'!$D$25</f>
      </c>
      <c r="N107" s="1" t="e">
        <f>N82*'Hypothèses'!$D$25</f>
      </c>
      <c r="O107" s="1" t="e">
        <f>O82*'Hypothèses'!$D$25</f>
      </c>
      <c r="P107" s="1" t="e">
        <f>P82*'Hypothèses'!$D$25</f>
      </c>
      <c r="Q107" s="1" t="e">
        <f>Q82*'Hypothèses'!$D$25</f>
      </c>
      <c r="R107" s="1" t="e">
        <f>R82*'Hypothèses'!$D$25</f>
      </c>
      <c r="S107" s="1" t="e">
        <f>S82*'Hypothèses'!$D$25</f>
      </c>
      <c r="T107" s="1" t="e">
        <f>T82*'Hypothèses'!$D$25</f>
      </c>
      <c r="U107" s="1" t="e">
        <f>U82*'Hypothèses'!$D$25</f>
      </c>
      <c r="V107" s="1" t="e">
        <f>V82*'Hypothèses'!$D$25</f>
      </c>
      <c r="W107" s="1" t="e">
        <f>W82*'Hypothèses'!$D$25</f>
      </c>
      <c r="X107" s="1" t="e">
        <f>X82*'Hypothèses'!$D$25</f>
      </c>
      <c r="Y107" s="1" t="e">
        <f>Y82*'Hypothèses'!$D$25</f>
      </c>
      <c r="Z107" s="1" t="e">
        <f>Z82*'Hypothèses'!$D$25</f>
      </c>
      <c r="AA107" s="1" t="e">
        <f>AA82*'Hypothèses'!$D$25</f>
      </c>
      <c r="AB107" s="1" t="e">
        <f>AB82*'Hypothèses'!$D$25</f>
      </c>
      <c r="AC107" s="1" t="e">
        <f>AC82*'Hypothèses'!$D$25</f>
      </c>
      <c r="AD107" s="1" t="e">
        <f>AD82*'Hypothèses'!$D$25</f>
      </c>
      <c r="AE107" s="1" t="e">
        <f>AE82*'Hypothèses'!$D$25</f>
      </c>
      <c r="AF107" s="1" t="e">
        <f>AF82*'Hypothèses'!$D$25</f>
      </c>
      <c r="AG107" s="1" t="e">
        <f>AG82*'Hypothèses'!$D$25</f>
      </c>
      <c r="AH107" s="1" t="e">
        <f>AH82*'Hypothèses'!$D$25</f>
      </c>
      <c r="AI107" s="1" t="e">
        <f>AI82*'Hypothèses'!$D$25</f>
      </c>
      <c r="AJ107" s="1" t="e">
        <f>AJ82*'Hypothèses'!$D$25</f>
      </c>
      <c r="AK107" s="1" t="e">
        <f>AK82*'Hypothèses'!$D$25</f>
      </c>
      <c r="AL107" s="1" t="e">
        <f>AL82*'Hypothèses'!$D$25</f>
      </c>
      <c r="AM107" s="1" t="e">
        <f>AM82*'Hypothèses'!$D$25</f>
      </c>
      <c r="AN107" s="1" t="e">
        <f>AN82*'Hypothèses'!$D$25</f>
      </c>
      <c r="AO107" s="1" t="e">
        <f>AO82*'Hypothèses'!$D$25</f>
      </c>
      <c r="AP107" s="1" t="e">
        <f>AP82*'Hypothèses'!$D$25</f>
      </c>
      <c r="AQ107" s="1" t="e">
        <f>AQ82*'Hypothèses'!$D$25</f>
      </c>
      <c r="AR107" s="1" t="e">
        <f>AR82*'Hypothèses'!$D$25</f>
      </c>
      <c r="AS107" s="1" t="e">
        <f>AS82*'Hypothèses'!$D$25</f>
      </c>
      <c r="AT107" s="1" t="e">
        <f>AT82*'Hypothèses'!$D$25</f>
      </c>
      <c r="AU107" s="1" t="e">
        <f>AU82*'Hypothèses'!$D$25</f>
      </c>
      <c r="AV107" s="1" t="e">
        <f>AV82*'Hypothèses'!$D$25</f>
      </c>
      <c r="AW107" s="1" t="e">
        <f>AW82*'Hypothèses'!$D$25</f>
      </c>
      <c r="AX107" s="1" t="e">
        <f>AX82*'Hypothèses'!$D$25</f>
      </c>
      <c r="AY107" s="1" t="e">
        <f>AY82*'Hypothèses'!$D$25</f>
      </c>
      <c r="AZ107" s="1" t="e">
        <f>AZ82*'Hypothèses'!$D$25</f>
      </c>
      <c r="BA107" s="1" t="e">
        <f>BA82*'Hypothèses'!$D$25</f>
      </c>
      <c r="BB107" s="1" t="e">
        <f>BB82*'Hypothèses'!$D$25</f>
      </c>
      <c r="BC107" s="1" t="e">
        <f>BC82*'Hypothèses'!$D$25</f>
      </c>
      <c r="BD107" s="1" t="e">
        <f>BD82*'Hypothèses'!$D$25</f>
      </c>
      <c r="BE107" s="1" t="e">
        <f>BE82*'Hypothèses'!$D$25</f>
      </c>
      <c r="BF107" s="1" t="e">
        <f>BF82*'Hypothèses'!$D$25</f>
      </c>
      <c r="BG107" s="1" t="e">
        <f>BG82*'Hypothèses'!$D$25</f>
      </c>
      <c r="BH107" s="1" t="e">
        <f>BH82*'Hypothèses'!$D$25</f>
      </c>
      <c r="BI107" s="1" t="e">
        <f>BI82*'Hypothèses'!$D$25</f>
      </c>
      <c r="BJ107" s="1" t="e">
        <f>BJ82*'Hypothèses'!$D$25</f>
      </c>
      <c r="BK107" s="1" t="e">
        <f>BK82*'Hypothèses'!$D$25</f>
      </c>
      <c r="BL107" s="1" t="e">
        <f>SUM(D107:O107)</f>
      </c>
      <c r="BM107" s="1" t="e">
        <f>SUM(P107:AA107)</f>
      </c>
      <c r="BN107" s="1" t="e">
        <f>SUM(AB107:AM107)</f>
      </c>
      <c r="BO107" s="1" t="e">
        <f>SUM(AN107:AY107)</f>
      </c>
      <c r="BP107" s="1" t="e">
        <f>SUM(AZ107:BK107)</f>
      </c>
    </row>
    <row r="108">
      <c r="A108" t="str">
        <v>Commissions</v>
      </c>
      <c r="B108" t="str">
        <v>€</v>
      </c>
      <c r="D108" s="1" t="e">
        <f>D104*'Hypothèses'!$D$26</f>
      </c>
      <c r="E108" s="1" t="e">
        <f>E104*'Hypothèses'!$D$26</f>
      </c>
      <c r="F108" s="1" t="e">
        <f>F104*'Hypothèses'!$D$26</f>
      </c>
      <c r="G108" s="1" t="e">
        <f>G104*'Hypothèses'!$D$26</f>
      </c>
      <c r="H108" s="1" t="e">
        <f>H104*'Hypothèses'!$D$26</f>
      </c>
      <c r="I108" s="1" t="e">
        <f>I104*'Hypothèses'!$D$26</f>
      </c>
      <c r="J108" s="1" t="e">
        <f>J104*'Hypothèses'!$D$26</f>
      </c>
      <c r="K108" s="1" t="e">
        <f>K104*'Hypothèses'!$D$26</f>
      </c>
      <c r="L108" s="1" t="e">
        <f>L104*'Hypothèses'!$D$26</f>
      </c>
      <c r="M108" s="1" t="e">
        <f>M104*'Hypothèses'!$D$26</f>
      </c>
      <c r="N108" s="1" t="e">
        <f>N104*'Hypothèses'!$D$26</f>
      </c>
      <c r="O108" s="1" t="e">
        <f>O104*'Hypothèses'!$D$26</f>
      </c>
      <c r="P108" s="1" t="e">
        <f>P104*'Hypothèses'!$D$26</f>
      </c>
      <c r="Q108" s="1" t="e">
        <f>Q104*'Hypothèses'!$D$26</f>
      </c>
      <c r="R108" s="1" t="e">
        <f>R104*'Hypothèses'!$D$26</f>
      </c>
      <c r="S108" s="1" t="e">
        <f>S104*'Hypothèses'!$D$26</f>
      </c>
      <c r="T108" s="1" t="e">
        <f>T104*'Hypothèses'!$D$26</f>
      </c>
      <c r="U108" s="1" t="e">
        <f>U104*'Hypothèses'!$D$26</f>
      </c>
      <c r="V108" s="1" t="e">
        <f>V104*'Hypothèses'!$D$26</f>
      </c>
      <c r="W108" s="1" t="e">
        <f>W104*'Hypothèses'!$D$26</f>
      </c>
      <c r="X108" s="1" t="e">
        <f>X104*'Hypothèses'!$D$26</f>
      </c>
      <c r="Y108" s="1" t="e">
        <f>Y104*'Hypothèses'!$D$26</f>
      </c>
      <c r="Z108" s="1" t="e">
        <f>Z104*'Hypothèses'!$D$26</f>
      </c>
      <c r="AA108" s="1" t="e">
        <f>AA104*'Hypothèses'!$D$26</f>
      </c>
      <c r="AB108" s="1" t="e">
        <f>AB104*'Hypothèses'!$D$26</f>
      </c>
      <c r="AC108" s="1" t="e">
        <f>AC104*'Hypothèses'!$D$26</f>
      </c>
      <c r="AD108" s="1" t="e">
        <f>AD104*'Hypothèses'!$D$26</f>
      </c>
      <c r="AE108" s="1" t="e">
        <f>AE104*'Hypothèses'!$D$26</f>
      </c>
      <c r="AF108" s="1" t="e">
        <f>AF104*'Hypothèses'!$D$26</f>
      </c>
      <c r="AG108" s="1" t="e">
        <f>AG104*'Hypothèses'!$D$26</f>
      </c>
      <c r="AH108" s="1" t="e">
        <f>AH104*'Hypothèses'!$D$26</f>
      </c>
      <c r="AI108" s="1" t="e">
        <f>AI104*'Hypothèses'!$D$26</f>
      </c>
      <c r="AJ108" s="1" t="e">
        <f>AJ104*'Hypothèses'!$D$26</f>
      </c>
      <c r="AK108" s="1" t="e">
        <f>AK104*'Hypothèses'!$D$26</f>
      </c>
      <c r="AL108" s="1" t="e">
        <f>AL104*'Hypothèses'!$D$26</f>
      </c>
      <c r="AM108" s="1" t="e">
        <f>AM104*'Hypothèses'!$D$26</f>
      </c>
      <c r="AN108" s="1" t="e">
        <f>AN104*'Hypothèses'!$D$26</f>
      </c>
      <c r="AO108" s="1" t="e">
        <f>AO104*'Hypothèses'!$D$26</f>
      </c>
      <c r="AP108" s="1" t="e">
        <f>AP104*'Hypothèses'!$D$26</f>
      </c>
      <c r="AQ108" s="1" t="e">
        <f>AQ104*'Hypothèses'!$D$26</f>
      </c>
      <c r="AR108" s="1" t="e">
        <f>AR104*'Hypothèses'!$D$26</f>
      </c>
      <c r="AS108" s="1" t="e">
        <f>AS104*'Hypothèses'!$D$26</f>
      </c>
      <c r="AT108" s="1" t="e">
        <f>AT104*'Hypothèses'!$D$26</f>
      </c>
      <c r="AU108" s="1" t="e">
        <f>AU104*'Hypothèses'!$D$26</f>
      </c>
      <c r="AV108" s="1" t="e">
        <f>AV104*'Hypothèses'!$D$26</f>
      </c>
      <c r="AW108" s="1" t="e">
        <f>AW104*'Hypothèses'!$D$26</f>
      </c>
      <c r="AX108" s="1" t="e">
        <f>AX104*'Hypothèses'!$D$26</f>
      </c>
      <c r="AY108" s="1" t="e">
        <f>AY104*'Hypothèses'!$D$26</f>
      </c>
      <c r="AZ108" s="1" t="e">
        <f>AZ104*'Hypothèses'!$D$26</f>
      </c>
      <c r="BA108" s="1" t="e">
        <f>BA104*'Hypothèses'!$D$26</f>
      </c>
      <c r="BB108" s="1" t="e">
        <f>BB104*'Hypothèses'!$D$26</f>
      </c>
      <c r="BC108" s="1" t="e">
        <f>BC104*'Hypothèses'!$D$26</f>
      </c>
      <c r="BD108" s="1" t="e">
        <f>BD104*'Hypothèses'!$D$26</f>
      </c>
      <c r="BE108" s="1" t="e">
        <f>BE104*'Hypothèses'!$D$26</f>
      </c>
      <c r="BF108" s="1" t="e">
        <f>BF104*'Hypothèses'!$D$26</f>
      </c>
      <c r="BG108" s="1" t="e">
        <f>BG104*'Hypothèses'!$D$26</f>
      </c>
      <c r="BH108" s="1" t="e">
        <f>BH104*'Hypothèses'!$D$26</f>
      </c>
      <c r="BI108" s="1" t="e">
        <f>BI104*'Hypothèses'!$D$26</f>
      </c>
      <c r="BJ108" s="1" t="e">
        <f>BJ104*'Hypothèses'!$D$26</f>
      </c>
      <c r="BK108" s="1" t="e">
        <f>BK104*'Hypothèses'!$D$26</f>
      </c>
      <c r="BL108" s="1" t="e">
        <f>SUM(D108:O108)</f>
      </c>
      <c r="BM108" s="1" t="e">
        <f>SUM(P108:AA108)</f>
      </c>
      <c r="BN108" s="1" t="e">
        <f>SUM(AB108:AM108)</f>
      </c>
      <c r="BO108" s="1" t="e">
        <f>SUM(AN108:AY108)</f>
      </c>
      <c r="BP108" s="1" t="e">
        <f>SUM(AZ108:BK108)</f>
      </c>
    </row>
    <row r="109">
      <c r="A109" t="str">
        <v>Équipe support</v>
      </c>
      <c r="B109" t="str">
        <v>ETP</v>
      </c>
      <c r="C109" s="8">
        <v>0</v>
      </c>
      <c r="D109" s="8" t="e">
        <f>MAX(C109,IF(AND(1&gt;='Hypothèses'!$D$64,C94+C95&gt;='Hypothèses'!$D$63),MIN('Hypothèses'!$D$65,INT((C94+C95)/'Hypothèses'!$D$63)),0))</f>
      </c>
      <c r="E109" s="8" t="e">
        <f>MAX(D109,IF(AND(2&gt;='Hypothèses'!$D$64,D94+D95&gt;='Hypothèses'!$D$63),MIN('Hypothèses'!$D$65,INT((D94+D95)/'Hypothèses'!$D$63)),0))</f>
      </c>
      <c r="F109" s="8" t="e">
        <f>MAX(E109,IF(AND(3&gt;='Hypothèses'!$D$64,E94+E95&gt;='Hypothèses'!$D$63),MIN('Hypothèses'!$D$65,INT((E94+E95)/'Hypothèses'!$D$63)),0))</f>
      </c>
      <c r="G109" s="8" t="e">
        <f>MAX(F109,IF(AND(4&gt;='Hypothèses'!$D$64,F94+F95&gt;='Hypothèses'!$D$63),MIN('Hypothèses'!$D$65,INT((F94+F95)/'Hypothèses'!$D$63)),0))</f>
      </c>
      <c r="H109" s="8" t="e">
        <f>MAX(G109,IF(AND(5&gt;='Hypothèses'!$D$64,G94+G95&gt;='Hypothèses'!$D$63),MIN('Hypothèses'!$D$65,INT((G94+G95)/'Hypothèses'!$D$63)),0))</f>
      </c>
      <c r="I109" s="8" t="e">
        <f>MAX(H109,IF(AND(6&gt;='Hypothèses'!$D$64,H94+H95&gt;='Hypothèses'!$D$63),MIN('Hypothèses'!$D$65,INT((H94+H95)/'Hypothèses'!$D$63)),0))</f>
      </c>
      <c r="J109" s="8" t="e">
        <f>MAX(I109,IF(AND(7&gt;='Hypothèses'!$D$64,I94+I95&gt;='Hypothèses'!$D$63),MIN('Hypothèses'!$D$65,INT((I94+I95)/'Hypothèses'!$D$63)),0))</f>
      </c>
      <c r="K109" s="8" t="e">
        <f>MAX(J109,IF(AND(8&gt;='Hypothèses'!$D$64,J94+J95&gt;='Hypothèses'!$D$63),MIN('Hypothèses'!$D$65,INT((J94+J95)/'Hypothèses'!$D$63)),0))</f>
      </c>
      <c r="L109" s="8" t="e">
        <f>MAX(K109,IF(AND(9&gt;='Hypothèses'!$D$64,K94+K95&gt;='Hypothèses'!$D$63),MIN('Hypothèses'!$D$65,INT((K94+K95)/'Hypothèses'!$D$63)),0))</f>
      </c>
      <c r="M109" s="8" t="e">
        <f>MAX(L109,IF(AND(10&gt;='Hypothèses'!$D$64,L94+L95&gt;='Hypothèses'!$D$63),MIN('Hypothèses'!$D$65,INT((L94+L95)/'Hypothèses'!$D$63)),0))</f>
      </c>
      <c r="N109" s="8" t="e">
        <f>MAX(M109,IF(AND(11&gt;='Hypothèses'!$D$64,M94+M95&gt;='Hypothèses'!$D$63),MIN('Hypothèses'!$D$65,INT((M94+M95)/'Hypothèses'!$D$63)),0))</f>
      </c>
      <c r="O109" s="8" t="e">
        <f>MAX(N109,IF(AND(12&gt;='Hypothèses'!$D$64,N94+N95&gt;='Hypothèses'!$D$63),MIN('Hypothèses'!$D$65,INT((N94+N95)/'Hypothèses'!$D$63)),0))</f>
      </c>
      <c r="P109" s="8" t="e">
        <f>MAX(O109,IF(AND(13&gt;='Hypothèses'!$D$64,O94+O95&gt;='Hypothèses'!$D$63),MIN('Hypothèses'!$D$65,INT((O94+O95)/'Hypothèses'!$D$63)),0))</f>
      </c>
      <c r="Q109" s="8" t="e">
        <f>MAX(P109,IF(AND(14&gt;='Hypothèses'!$D$64,P94+P95&gt;='Hypothèses'!$D$63),MIN('Hypothèses'!$D$65,INT((P94+P95)/'Hypothèses'!$D$63)),0))</f>
      </c>
      <c r="R109" s="8" t="e">
        <f>MAX(Q109,IF(AND(15&gt;='Hypothèses'!$D$64,Q94+Q95&gt;='Hypothèses'!$D$63),MIN('Hypothèses'!$D$65,INT((Q94+Q95)/'Hypothèses'!$D$63)),0))</f>
      </c>
      <c r="S109" s="8" t="e">
        <f>MAX(R109,IF(AND(16&gt;='Hypothèses'!$D$64,R94+R95&gt;='Hypothèses'!$D$63),MIN('Hypothèses'!$D$65,INT((R94+R95)/'Hypothèses'!$D$63)),0))</f>
      </c>
      <c r="T109" s="8" t="e">
        <f>MAX(S109,IF(AND(17&gt;='Hypothèses'!$D$64,S94+S95&gt;='Hypothèses'!$D$63),MIN('Hypothèses'!$D$65,INT((S94+S95)/'Hypothèses'!$D$63)),0))</f>
      </c>
      <c r="U109" s="8" t="e">
        <f>MAX(T109,IF(AND(18&gt;='Hypothèses'!$D$64,T94+T95&gt;='Hypothèses'!$D$63),MIN('Hypothèses'!$D$65,INT((T94+T95)/'Hypothèses'!$D$63)),0))</f>
      </c>
      <c r="V109" s="8" t="e">
        <f>MAX(U109,IF(AND(19&gt;='Hypothèses'!$D$64,U94+U95&gt;='Hypothèses'!$D$63),MIN('Hypothèses'!$D$65,INT((U94+U95)/'Hypothèses'!$D$63)),0))</f>
      </c>
      <c r="W109" s="8" t="e">
        <f>MAX(V109,IF(AND(20&gt;='Hypothèses'!$D$64,V94+V95&gt;='Hypothèses'!$D$63),MIN('Hypothèses'!$D$65,INT((V94+V95)/'Hypothèses'!$D$63)),0))</f>
      </c>
      <c r="X109" s="8" t="e">
        <f>MAX(W109,IF(AND(21&gt;='Hypothèses'!$D$64,W94+W95&gt;='Hypothèses'!$D$63),MIN('Hypothèses'!$D$65,INT((W94+W95)/'Hypothèses'!$D$63)),0))</f>
      </c>
      <c r="Y109" s="8" t="e">
        <f>MAX(X109,IF(AND(22&gt;='Hypothèses'!$D$64,X94+X95&gt;='Hypothèses'!$D$63),MIN('Hypothèses'!$D$65,INT((X94+X95)/'Hypothèses'!$D$63)),0))</f>
      </c>
      <c r="Z109" s="8" t="e">
        <f>MAX(Y109,IF(AND(23&gt;='Hypothèses'!$D$64,Y94+Y95&gt;='Hypothèses'!$D$63),MIN('Hypothèses'!$D$65,INT((Y94+Y95)/'Hypothèses'!$D$63)),0))</f>
      </c>
      <c r="AA109" s="8" t="e">
        <f>MAX(Z109,IF(AND(24&gt;='Hypothèses'!$D$64,Z94+Z95&gt;='Hypothèses'!$D$63),MIN('Hypothèses'!$D$65,INT((Z94+Z95)/'Hypothèses'!$D$63)),0))</f>
      </c>
      <c r="AB109" s="8" t="e">
        <f>MAX(AA109,IF(AND(25&gt;='Hypothèses'!$D$64,AA94+AA95&gt;='Hypothèses'!$D$63),MIN('Hypothèses'!$D$65,INT((AA94+AA95)/'Hypothèses'!$D$63)),0))</f>
      </c>
      <c r="AC109" s="8" t="e">
        <f>MAX(AB109,IF(AND(26&gt;='Hypothèses'!$D$64,AB94+AB95&gt;='Hypothèses'!$D$63),MIN('Hypothèses'!$D$65,INT((AB94+AB95)/'Hypothèses'!$D$63)),0))</f>
      </c>
      <c r="AD109" s="8" t="e">
        <f>MAX(AC109,IF(AND(27&gt;='Hypothèses'!$D$64,AC94+AC95&gt;='Hypothèses'!$D$63),MIN('Hypothèses'!$D$65,INT((AC94+AC95)/'Hypothèses'!$D$63)),0))</f>
      </c>
      <c r="AE109" s="8" t="e">
        <f>MAX(AD109,IF(AND(28&gt;='Hypothèses'!$D$64,AD94+AD95&gt;='Hypothèses'!$D$63),MIN('Hypothèses'!$D$65,INT((AD94+AD95)/'Hypothèses'!$D$63)),0))</f>
      </c>
      <c r="AF109" s="8" t="e">
        <f>MAX(AE109,IF(AND(29&gt;='Hypothèses'!$D$64,AE94+AE95&gt;='Hypothèses'!$D$63),MIN('Hypothèses'!$D$65,INT((AE94+AE95)/'Hypothèses'!$D$63)),0))</f>
      </c>
      <c r="AG109" s="8" t="e">
        <f>MAX(AF109,IF(AND(30&gt;='Hypothèses'!$D$64,AF94+AF95&gt;='Hypothèses'!$D$63),MIN('Hypothèses'!$D$65,INT((AF94+AF95)/'Hypothèses'!$D$63)),0))</f>
      </c>
      <c r="AH109" s="8" t="e">
        <f>MAX(AG109,IF(AND(31&gt;='Hypothèses'!$D$64,AG94+AG95&gt;='Hypothèses'!$D$63),MIN('Hypothèses'!$D$65,INT((AG94+AG95)/'Hypothèses'!$D$63)),0))</f>
      </c>
      <c r="AI109" s="8" t="e">
        <f>MAX(AH109,IF(AND(32&gt;='Hypothèses'!$D$64,AH94+AH95&gt;='Hypothèses'!$D$63),MIN('Hypothèses'!$D$65,INT((AH94+AH95)/'Hypothèses'!$D$63)),0))</f>
      </c>
      <c r="AJ109" s="8" t="e">
        <f>MAX(AI109,IF(AND(33&gt;='Hypothèses'!$D$64,AI94+AI95&gt;='Hypothèses'!$D$63),MIN('Hypothèses'!$D$65,INT((AI94+AI95)/'Hypothèses'!$D$63)),0))</f>
      </c>
      <c r="AK109" s="8" t="e">
        <f>MAX(AJ109,IF(AND(34&gt;='Hypothèses'!$D$64,AJ94+AJ95&gt;='Hypothèses'!$D$63),MIN('Hypothèses'!$D$65,INT((AJ94+AJ95)/'Hypothèses'!$D$63)),0))</f>
      </c>
      <c r="AL109" s="8" t="e">
        <f>MAX(AK109,IF(AND(35&gt;='Hypothèses'!$D$64,AK94+AK95&gt;='Hypothèses'!$D$63),MIN('Hypothèses'!$D$65,INT((AK94+AK95)/'Hypothèses'!$D$63)),0))</f>
      </c>
      <c r="AM109" s="8" t="e">
        <f>MAX(AL109,IF(AND(36&gt;='Hypothèses'!$D$64,AL94+AL95&gt;='Hypothèses'!$D$63),MIN('Hypothèses'!$D$65,INT((AL94+AL95)/'Hypothèses'!$D$63)),0))</f>
      </c>
      <c r="AN109" s="8" t="e">
        <f>MAX(AM109,IF(AND(37&gt;='Hypothèses'!$D$64,AM94+AM95&gt;='Hypothèses'!$D$63),MIN('Hypothèses'!$D$65,INT((AM94+AM95)/'Hypothèses'!$D$63)),0))</f>
      </c>
      <c r="AO109" s="8" t="e">
        <f>MAX(AN109,IF(AND(38&gt;='Hypothèses'!$D$64,AN94+AN95&gt;='Hypothèses'!$D$63),MIN('Hypothèses'!$D$65,INT((AN94+AN95)/'Hypothèses'!$D$63)),0))</f>
      </c>
      <c r="AP109" s="8" t="e">
        <f>MAX(AO109,IF(AND(39&gt;='Hypothèses'!$D$64,AO94+AO95&gt;='Hypothèses'!$D$63),MIN('Hypothèses'!$D$65,INT((AO94+AO95)/'Hypothèses'!$D$63)),0))</f>
      </c>
      <c r="AQ109" s="8" t="e">
        <f>MAX(AP109,IF(AND(40&gt;='Hypothèses'!$D$64,AP94+AP95&gt;='Hypothèses'!$D$63),MIN('Hypothèses'!$D$65,INT((AP94+AP95)/'Hypothèses'!$D$63)),0))</f>
      </c>
      <c r="AR109" s="8" t="e">
        <f>MAX(AQ109,IF(AND(41&gt;='Hypothèses'!$D$64,AQ94+AQ95&gt;='Hypothèses'!$D$63),MIN('Hypothèses'!$D$65,INT((AQ94+AQ95)/'Hypothèses'!$D$63)),0))</f>
      </c>
      <c r="AS109" s="8" t="e">
        <f>MAX(AR109,IF(AND(42&gt;='Hypothèses'!$D$64,AR94+AR95&gt;='Hypothèses'!$D$63),MIN('Hypothèses'!$D$65,INT((AR94+AR95)/'Hypothèses'!$D$63)),0))</f>
      </c>
      <c r="AT109" s="8" t="e">
        <f>MAX(AS109,IF(AND(43&gt;='Hypothèses'!$D$64,AS94+AS95&gt;='Hypothèses'!$D$63),MIN('Hypothèses'!$D$65,INT((AS94+AS95)/'Hypothèses'!$D$63)),0))</f>
      </c>
      <c r="AU109" s="8" t="e">
        <f>MAX(AT109,IF(AND(44&gt;='Hypothèses'!$D$64,AT94+AT95&gt;='Hypothèses'!$D$63),MIN('Hypothèses'!$D$65,INT((AT94+AT95)/'Hypothèses'!$D$63)),0))</f>
      </c>
      <c r="AV109" s="8" t="e">
        <f>MAX(AU109,IF(AND(45&gt;='Hypothèses'!$D$64,AU94+AU95&gt;='Hypothèses'!$D$63),MIN('Hypothèses'!$D$65,INT((AU94+AU95)/'Hypothèses'!$D$63)),0))</f>
      </c>
      <c r="AW109" s="8" t="e">
        <f>MAX(AV109,IF(AND(46&gt;='Hypothèses'!$D$64,AV94+AV95&gt;='Hypothèses'!$D$63),MIN('Hypothèses'!$D$65,INT((AV94+AV95)/'Hypothèses'!$D$63)),0))</f>
      </c>
      <c r="AX109" s="8" t="e">
        <f>MAX(AW109,IF(AND(47&gt;='Hypothèses'!$D$64,AW94+AW95&gt;='Hypothèses'!$D$63),MIN('Hypothèses'!$D$65,INT((AW94+AW95)/'Hypothèses'!$D$63)),0))</f>
      </c>
      <c r="AY109" s="8" t="e">
        <f>MAX(AX109,IF(AND(48&gt;='Hypothèses'!$D$64,AX94+AX95&gt;='Hypothèses'!$D$63),MIN('Hypothèses'!$D$65,INT((AX94+AX95)/'Hypothèses'!$D$63)),0))</f>
      </c>
      <c r="AZ109" s="8" t="e">
        <f>MAX(AY109,IF(AND(49&gt;='Hypothèses'!$D$64,AY94+AY95&gt;='Hypothèses'!$D$63),MIN('Hypothèses'!$D$65,INT((AY94+AY95)/'Hypothèses'!$D$63)),0))</f>
      </c>
      <c r="BA109" s="8" t="e">
        <f>MAX(AZ109,IF(AND(50&gt;='Hypothèses'!$D$64,AZ94+AZ95&gt;='Hypothèses'!$D$63),MIN('Hypothèses'!$D$65,INT((AZ94+AZ95)/'Hypothèses'!$D$63)),0))</f>
      </c>
      <c r="BB109" s="8" t="e">
        <f>MAX(BA109,IF(AND(51&gt;='Hypothèses'!$D$64,BA94+BA95&gt;='Hypothèses'!$D$63),MIN('Hypothèses'!$D$65,INT((BA94+BA95)/'Hypothèses'!$D$63)),0))</f>
      </c>
      <c r="BC109" s="8" t="e">
        <f>MAX(BB109,IF(AND(52&gt;='Hypothèses'!$D$64,BB94+BB95&gt;='Hypothèses'!$D$63),MIN('Hypothèses'!$D$65,INT((BB94+BB95)/'Hypothèses'!$D$63)),0))</f>
      </c>
      <c r="BD109" s="8" t="e">
        <f>MAX(BC109,IF(AND(53&gt;='Hypothèses'!$D$64,BC94+BC95&gt;='Hypothèses'!$D$63),MIN('Hypothèses'!$D$65,INT((BC94+BC95)/'Hypothèses'!$D$63)),0))</f>
      </c>
      <c r="BE109" s="8" t="e">
        <f>MAX(BD109,IF(AND(54&gt;='Hypothèses'!$D$64,BD94+BD95&gt;='Hypothèses'!$D$63),MIN('Hypothèses'!$D$65,INT((BD94+BD95)/'Hypothèses'!$D$63)),0))</f>
      </c>
      <c r="BF109" s="8" t="e">
        <f>MAX(BE109,IF(AND(55&gt;='Hypothèses'!$D$64,BE94+BE95&gt;='Hypothèses'!$D$63),MIN('Hypothèses'!$D$65,INT((BE94+BE95)/'Hypothèses'!$D$63)),0))</f>
      </c>
      <c r="BG109" s="8" t="e">
        <f>MAX(BF109,IF(AND(56&gt;='Hypothèses'!$D$64,BF94+BF95&gt;='Hypothèses'!$D$63),MIN('Hypothèses'!$D$65,INT((BF94+BF95)/'Hypothèses'!$D$63)),0))</f>
      </c>
      <c r="BH109" s="8" t="e">
        <f>MAX(BG109,IF(AND(57&gt;='Hypothèses'!$D$64,BG94+BG95&gt;='Hypothèses'!$D$63),MIN('Hypothèses'!$D$65,INT((BG94+BG95)/'Hypothèses'!$D$63)),0))</f>
      </c>
      <c r="BI109" s="8" t="e">
        <f>MAX(BH109,IF(AND(58&gt;='Hypothèses'!$D$64,BH94+BH95&gt;='Hypothèses'!$D$63),MIN('Hypothèses'!$D$65,INT((BH94+BH95)/'Hypothèses'!$D$63)),0))</f>
      </c>
      <c r="BJ109" s="8" t="e">
        <f>MAX(BI109,IF(AND(59&gt;='Hypothèses'!$D$64,BI94+BI95&gt;='Hypothèses'!$D$63),MIN('Hypothèses'!$D$65,INT((BI94+BI95)/'Hypothèses'!$D$63)),0))</f>
      </c>
      <c r="BK109" s="8" t="e">
        <f>MAX(BJ109,IF(AND(60&gt;='Hypothèses'!$D$64,BJ94+BJ95&gt;='Hypothèses'!$D$63),MIN('Hypothèses'!$D$65,INT((BJ94+BJ95)/'Hypothèses'!$D$63)),0))</f>
      </c>
      <c r="BL109" s="8" t="e">
        <f>O109</f>
      </c>
      <c r="BM109" s="8" t="e">
        <f>AA109</f>
      </c>
      <c r="BN109" s="8" t="e">
        <f>AM109</f>
      </c>
      <c r="BO109" s="8" t="e">
        <f>AY109</f>
      </c>
      <c r="BP109" s="8" t="e">
        <f>BK109</f>
      </c>
    </row>
    <row r="110">
      <c r="A110" t="str">
        <v>Salaires support</v>
      </c>
      <c r="B110" t="str">
        <v>€</v>
      </c>
      <c r="D110" s="1" t="e">
        <f>D109*'Hypothèses'!$D$66</f>
      </c>
      <c r="E110" s="1" t="e">
        <f>E109*'Hypothèses'!$D$66</f>
      </c>
      <c r="F110" s="1" t="e">
        <f>F109*'Hypothèses'!$D$66</f>
      </c>
      <c r="G110" s="1" t="e">
        <f>G109*'Hypothèses'!$D$66</f>
      </c>
      <c r="H110" s="1" t="e">
        <f>H109*'Hypothèses'!$D$66</f>
      </c>
      <c r="I110" s="1" t="e">
        <f>I109*'Hypothèses'!$D$66</f>
      </c>
      <c r="J110" s="1" t="e">
        <f>J109*'Hypothèses'!$D$66</f>
      </c>
      <c r="K110" s="1" t="e">
        <f>K109*'Hypothèses'!$D$66</f>
      </c>
      <c r="L110" s="1" t="e">
        <f>L109*'Hypothèses'!$D$66</f>
      </c>
      <c r="M110" s="1" t="e">
        <f>M109*'Hypothèses'!$D$66</f>
      </c>
      <c r="N110" s="1" t="e">
        <f>N109*'Hypothèses'!$D$66</f>
      </c>
      <c r="O110" s="1" t="e">
        <f>O109*'Hypothèses'!$D$66</f>
      </c>
      <c r="P110" s="1" t="e">
        <f>P109*'Hypothèses'!$D$66</f>
      </c>
      <c r="Q110" s="1" t="e">
        <f>Q109*'Hypothèses'!$D$66</f>
      </c>
      <c r="R110" s="1" t="e">
        <f>R109*'Hypothèses'!$D$66</f>
      </c>
      <c r="S110" s="1" t="e">
        <f>S109*'Hypothèses'!$D$66</f>
      </c>
      <c r="T110" s="1" t="e">
        <f>T109*'Hypothèses'!$D$66</f>
      </c>
      <c r="U110" s="1" t="e">
        <f>U109*'Hypothèses'!$D$66</f>
      </c>
      <c r="V110" s="1" t="e">
        <f>V109*'Hypothèses'!$D$66</f>
      </c>
      <c r="W110" s="1" t="e">
        <f>W109*'Hypothèses'!$D$66</f>
      </c>
      <c r="X110" s="1" t="e">
        <f>X109*'Hypothèses'!$D$66</f>
      </c>
      <c r="Y110" s="1" t="e">
        <f>Y109*'Hypothèses'!$D$66</f>
      </c>
      <c r="Z110" s="1" t="e">
        <f>Z109*'Hypothèses'!$D$66</f>
      </c>
      <c r="AA110" s="1" t="e">
        <f>AA109*'Hypothèses'!$D$66</f>
      </c>
      <c r="AB110" s="1" t="e">
        <f>AB109*'Hypothèses'!$D$66</f>
      </c>
      <c r="AC110" s="1" t="e">
        <f>AC109*'Hypothèses'!$D$66</f>
      </c>
      <c r="AD110" s="1" t="e">
        <f>AD109*'Hypothèses'!$D$66</f>
      </c>
      <c r="AE110" s="1" t="e">
        <f>AE109*'Hypothèses'!$D$66</f>
      </c>
      <c r="AF110" s="1" t="e">
        <f>AF109*'Hypothèses'!$D$66</f>
      </c>
      <c r="AG110" s="1" t="e">
        <f>AG109*'Hypothèses'!$D$66</f>
      </c>
      <c r="AH110" s="1" t="e">
        <f>AH109*'Hypothèses'!$D$66</f>
      </c>
      <c r="AI110" s="1" t="e">
        <f>AI109*'Hypothèses'!$D$66</f>
      </c>
      <c r="AJ110" s="1" t="e">
        <f>AJ109*'Hypothèses'!$D$66</f>
      </c>
      <c r="AK110" s="1" t="e">
        <f>AK109*'Hypothèses'!$D$66</f>
      </c>
      <c r="AL110" s="1" t="e">
        <f>AL109*'Hypothèses'!$D$66</f>
      </c>
      <c r="AM110" s="1" t="e">
        <f>AM109*'Hypothèses'!$D$66</f>
      </c>
      <c r="AN110" s="1" t="e">
        <f>AN109*'Hypothèses'!$D$66</f>
      </c>
      <c r="AO110" s="1" t="e">
        <f>AO109*'Hypothèses'!$D$66</f>
      </c>
      <c r="AP110" s="1" t="e">
        <f>AP109*'Hypothèses'!$D$66</f>
      </c>
      <c r="AQ110" s="1" t="e">
        <f>AQ109*'Hypothèses'!$D$66</f>
      </c>
      <c r="AR110" s="1" t="e">
        <f>AR109*'Hypothèses'!$D$66</f>
      </c>
      <c r="AS110" s="1" t="e">
        <f>AS109*'Hypothèses'!$D$66</f>
      </c>
      <c r="AT110" s="1" t="e">
        <f>AT109*'Hypothèses'!$D$66</f>
      </c>
      <c r="AU110" s="1" t="e">
        <f>AU109*'Hypothèses'!$D$66</f>
      </c>
      <c r="AV110" s="1" t="e">
        <f>AV109*'Hypothèses'!$D$66</f>
      </c>
      <c r="AW110" s="1" t="e">
        <f>AW109*'Hypothèses'!$D$66</f>
      </c>
      <c r="AX110" s="1" t="e">
        <f>AX109*'Hypothèses'!$D$66</f>
      </c>
      <c r="AY110" s="1" t="e">
        <f>AY109*'Hypothèses'!$D$66</f>
      </c>
      <c r="AZ110" s="1" t="e">
        <f>AZ109*'Hypothèses'!$D$66</f>
      </c>
      <c r="BA110" s="1" t="e">
        <f>BA109*'Hypothèses'!$D$66</f>
      </c>
      <c r="BB110" s="1" t="e">
        <f>BB109*'Hypothèses'!$D$66</f>
      </c>
      <c r="BC110" s="1" t="e">
        <f>BC109*'Hypothèses'!$D$66</f>
      </c>
      <c r="BD110" s="1" t="e">
        <f>BD109*'Hypothèses'!$D$66</f>
      </c>
      <c r="BE110" s="1" t="e">
        <f>BE109*'Hypothèses'!$D$66</f>
      </c>
      <c r="BF110" s="1" t="e">
        <f>BF109*'Hypothèses'!$D$66</f>
      </c>
      <c r="BG110" s="1" t="e">
        <f>BG109*'Hypothèses'!$D$66</f>
      </c>
      <c r="BH110" s="1" t="e">
        <f>BH109*'Hypothèses'!$D$66</f>
      </c>
      <c r="BI110" s="1" t="e">
        <f>BI109*'Hypothèses'!$D$66</f>
      </c>
      <c r="BJ110" s="1" t="e">
        <f>BJ109*'Hypothèses'!$D$66</f>
      </c>
      <c r="BK110" s="1" t="e">
        <f>BK109*'Hypothèses'!$D$66</f>
      </c>
      <c r="BL110" s="1" t="e">
        <f>SUM(D110:O110)</f>
      </c>
      <c r="BM110" s="1" t="e">
        <f>SUM(P110:AA110)</f>
      </c>
      <c r="BN110" s="1" t="e">
        <f>SUM(AB110:AM110)</f>
      </c>
      <c r="BO110" s="1" t="e">
        <f>SUM(AN110:AY110)</f>
      </c>
      <c r="BP110" s="1" t="e">
        <f>SUM(AZ110:BK110)</f>
      </c>
    </row>
    <row r="111">
      <c r="A111" t="str">
        <v>Hébergement</v>
      </c>
      <c r="B111" t="str">
        <v>€</v>
      </c>
      <c r="D111" s="1" t="e">
        <f>MAX('Hypothèses'!$D$67,D96*'Hypothèses'!$D$68)</f>
      </c>
      <c r="E111" s="1" t="e">
        <f>MAX('Hypothèses'!$D$67,E96*'Hypothèses'!$D$68)</f>
      </c>
      <c r="F111" s="1" t="e">
        <f>MAX('Hypothèses'!$D$67,F96*'Hypothèses'!$D$68)</f>
      </c>
      <c r="G111" s="1" t="e">
        <f>MAX('Hypothèses'!$D$67,G96*'Hypothèses'!$D$68)</f>
      </c>
      <c r="H111" s="1" t="e">
        <f>MAX('Hypothèses'!$D$67,H96*'Hypothèses'!$D$68)</f>
      </c>
      <c r="I111" s="1" t="e">
        <f>MAX('Hypothèses'!$D$67,I96*'Hypothèses'!$D$68)</f>
      </c>
      <c r="J111" s="1" t="e">
        <f>MAX('Hypothèses'!$D$67,J96*'Hypothèses'!$D$68)</f>
      </c>
      <c r="K111" s="1" t="e">
        <f>MAX('Hypothèses'!$D$67,K96*'Hypothèses'!$D$68)</f>
      </c>
      <c r="L111" s="1" t="e">
        <f>MAX('Hypothèses'!$D$67,L96*'Hypothèses'!$D$68)</f>
      </c>
      <c r="M111" s="1" t="e">
        <f>MAX('Hypothèses'!$D$67,M96*'Hypothèses'!$D$68)</f>
      </c>
      <c r="N111" s="1" t="e">
        <f>MAX('Hypothèses'!$D$67,N96*'Hypothèses'!$D$68)</f>
      </c>
      <c r="O111" s="1" t="e">
        <f>MAX('Hypothèses'!$D$67,O96*'Hypothèses'!$D$68)</f>
      </c>
      <c r="P111" s="1" t="e">
        <f>MAX('Hypothèses'!$D$67,P96*'Hypothèses'!$D$68)</f>
      </c>
      <c r="Q111" s="1" t="e">
        <f>MAX('Hypothèses'!$D$67,Q96*'Hypothèses'!$D$68)</f>
      </c>
      <c r="R111" s="1" t="e">
        <f>MAX('Hypothèses'!$D$67,R96*'Hypothèses'!$D$68)</f>
      </c>
      <c r="S111" s="1" t="e">
        <f>MAX('Hypothèses'!$D$67,S96*'Hypothèses'!$D$68)</f>
      </c>
      <c r="T111" s="1" t="e">
        <f>MAX('Hypothèses'!$D$67,T96*'Hypothèses'!$D$68)</f>
      </c>
      <c r="U111" s="1" t="e">
        <f>MAX('Hypothèses'!$D$67,U96*'Hypothèses'!$D$68)</f>
      </c>
      <c r="V111" s="1" t="e">
        <f>MAX('Hypothèses'!$D$67,V96*'Hypothèses'!$D$68)</f>
      </c>
      <c r="W111" s="1" t="e">
        <f>MAX('Hypothèses'!$D$67,W96*'Hypothèses'!$D$68)</f>
      </c>
      <c r="X111" s="1" t="e">
        <f>MAX('Hypothèses'!$D$67,X96*'Hypothèses'!$D$68)</f>
      </c>
      <c r="Y111" s="1" t="e">
        <f>MAX('Hypothèses'!$D$67,Y96*'Hypothèses'!$D$68)</f>
      </c>
      <c r="Z111" s="1" t="e">
        <f>MAX('Hypothèses'!$D$67,Z96*'Hypothèses'!$D$68)</f>
      </c>
      <c r="AA111" s="1" t="e">
        <f>MAX('Hypothèses'!$D$67,AA96*'Hypothèses'!$D$68)</f>
      </c>
      <c r="AB111" s="1" t="e">
        <f>MAX('Hypothèses'!$D$67,AB96*'Hypothèses'!$D$68)</f>
      </c>
      <c r="AC111" s="1" t="e">
        <f>MAX('Hypothèses'!$D$67,AC96*'Hypothèses'!$D$68)</f>
      </c>
      <c r="AD111" s="1" t="e">
        <f>MAX('Hypothèses'!$D$67,AD96*'Hypothèses'!$D$68)</f>
      </c>
      <c r="AE111" s="1" t="e">
        <f>MAX('Hypothèses'!$D$67,AE96*'Hypothèses'!$D$68)</f>
      </c>
      <c r="AF111" s="1" t="e">
        <f>MAX('Hypothèses'!$D$67,AF96*'Hypothèses'!$D$68)</f>
      </c>
      <c r="AG111" s="1" t="e">
        <f>MAX('Hypothèses'!$D$67,AG96*'Hypothèses'!$D$68)</f>
      </c>
      <c r="AH111" s="1" t="e">
        <f>MAX('Hypothèses'!$D$67,AH96*'Hypothèses'!$D$68)</f>
      </c>
      <c r="AI111" s="1" t="e">
        <f>MAX('Hypothèses'!$D$67,AI96*'Hypothèses'!$D$68)</f>
      </c>
      <c r="AJ111" s="1" t="e">
        <f>MAX('Hypothèses'!$D$67,AJ96*'Hypothèses'!$D$68)</f>
      </c>
      <c r="AK111" s="1" t="e">
        <f>MAX('Hypothèses'!$D$67,AK96*'Hypothèses'!$D$68)</f>
      </c>
      <c r="AL111" s="1" t="e">
        <f>MAX('Hypothèses'!$D$67,AL96*'Hypothèses'!$D$68)</f>
      </c>
      <c r="AM111" s="1" t="e">
        <f>MAX('Hypothèses'!$D$67,AM96*'Hypothèses'!$D$68)</f>
      </c>
      <c r="AN111" s="1" t="e">
        <f>MAX('Hypothèses'!$D$67,AN96*'Hypothèses'!$D$68)</f>
      </c>
      <c r="AO111" s="1" t="e">
        <f>MAX('Hypothèses'!$D$67,AO96*'Hypothèses'!$D$68)</f>
      </c>
      <c r="AP111" s="1" t="e">
        <f>MAX('Hypothèses'!$D$67,AP96*'Hypothèses'!$D$68)</f>
      </c>
      <c r="AQ111" s="1" t="e">
        <f>MAX('Hypothèses'!$D$67,AQ96*'Hypothèses'!$D$68)</f>
      </c>
      <c r="AR111" s="1" t="e">
        <f>MAX('Hypothèses'!$D$67,AR96*'Hypothèses'!$D$68)</f>
      </c>
      <c r="AS111" s="1" t="e">
        <f>MAX('Hypothèses'!$D$67,AS96*'Hypothèses'!$D$68)</f>
      </c>
      <c r="AT111" s="1" t="e">
        <f>MAX('Hypothèses'!$D$67,AT96*'Hypothèses'!$D$68)</f>
      </c>
      <c r="AU111" s="1" t="e">
        <f>MAX('Hypothèses'!$D$67,AU96*'Hypothèses'!$D$68)</f>
      </c>
      <c r="AV111" s="1" t="e">
        <f>MAX('Hypothèses'!$D$67,AV96*'Hypothèses'!$D$68)</f>
      </c>
      <c r="AW111" s="1" t="e">
        <f>MAX('Hypothèses'!$D$67,AW96*'Hypothèses'!$D$68)</f>
      </c>
      <c r="AX111" s="1" t="e">
        <f>MAX('Hypothèses'!$D$67,AX96*'Hypothèses'!$D$68)</f>
      </c>
      <c r="AY111" s="1" t="e">
        <f>MAX('Hypothèses'!$D$67,AY96*'Hypothèses'!$D$68)</f>
      </c>
      <c r="AZ111" s="1" t="e">
        <f>MAX('Hypothèses'!$D$67,AZ96*'Hypothèses'!$D$68)</f>
      </c>
      <c r="BA111" s="1" t="e">
        <f>MAX('Hypothèses'!$D$67,BA96*'Hypothèses'!$D$68)</f>
      </c>
      <c r="BB111" s="1" t="e">
        <f>MAX('Hypothèses'!$D$67,BB96*'Hypothèses'!$D$68)</f>
      </c>
      <c r="BC111" s="1" t="e">
        <f>MAX('Hypothèses'!$D$67,BC96*'Hypothèses'!$D$68)</f>
      </c>
      <c r="BD111" s="1" t="e">
        <f>MAX('Hypothèses'!$D$67,BD96*'Hypothèses'!$D$68)</f>
      </c>
      <c r="BE111" s="1" t="e">
        <f>MAX('Hypothèses'!$D$67,BE96*'Hypothèses'!$D$68)</f>
      </c>
      <c r="BF111" s="1" t="e">
        <f>MAX('Hypothèses'!$D$67,BF96*'Hypothèses'!$D$68)</f>
      </c>
      <c r="BG111" s="1" t="e">
        <f>MAX('Hypothèses'!$D$67,BG96*'Hypothèses'!$D$68)</f>
      </c>
      <c r="BH111" s="1" t="e">
        <f>MAX('Hypothèses'!$D$67,BH96*'Hypothèses'!$D$68)</f>
      </c>
      <c r="BI111" s="1" t="e">
        <f>MAX('Hypothèses'!$D$67,BI96*'Hypothèses'!$D$68)</f>
      </c>
      <c r="BJ111" s="1" t="e">
        <f>MAX('Hypothèses'!$D$67,BJ96*'Hypothèses'!$D$68)</f>
      </c>
      <c r="BK111" s="1" t="e">
        <f>MAX('Hypothèses'!$D$67,BK96*'Hypothèses'!$D$68)</f>
      </c>
      <c r="BL111" s="1" t="e">
        <f>SUM(D111:O111)</f>
      </c>
      <c r="BM111" s="1" t="e">
        <f>SUM(P111:AA111)</f>
      </c>
      <c r="BN111" s="1" t="e">
        <f>SUM(AB111:AM111)</f>
      </c>
      <c r="BO111" s="1" t="e">
        <f>SUM(AN111:AY111)</f>
      </c>
      <c r="BP111" s="1" t="e">
        <f>SUM(AZ111:BK111)</f>
      </c>
    </row>
    <row r="112">
      <c r="A112" t="str">
        <v>Marketing</v>
      </c>
      <c r="B112" t="str">
        <v>€</v>
      </c>
      <c r="D112" s="1" t="e">
        <f>'Hypothèses'!$D$69+D104*'Hypothèses'!$D$70</f>
      </c>
      <c r="E112" s="1" t="e">
        <f>'Hypothèses'!$D$69+E104*'Hypothèses'!$D$70</f>
      </c>
      <c r="F112" s="1" t="e">
        <f>'Hypothèses'!$D$69+F104*'Hypothèses'!$D$70</f>
      </c>
      <c r="G112" s="1" t="e">
        <f>'Hypothèses'!$D$69+G104*'Hypothèses'!$D$70</f>
      </c>
      <c r="H112" s="1" t="e">
        <f>'Hypothèses'!$D$69+H104*'Hypothèses'!$D$70</f>
      </c>
      <c r="I112" s="1" t="e">
        <f>'Hypothèses'!$D$69+I104*'Hypothèses'!$D$70</f>
      </c>
      <c r="J112" s="1" t="e">
        <f>'Hypothèses'!$D$69+J104*'Hypothèses'!$D$70</f>
      </c>
      <c r="K112" s="1" t="e">
        <f>'Hypothèses'!$D$69+K104*'Hypothèses'!$D$70</f>
      </c>
      <c r="L112" s="1" t="e">
        <f>'Hypothèses'!$D$69+L104*'Hypothèses'!$D$70</f>
      </c>
      <c r="M112" s="1" t="e">
        <f>'Hypothèses'!$D$69+M104*'Hypothèses'!$D$70</f>
      </c>
      <c r="N112" s="1" t="e">
        <f>'Hypothèses'!$D$69+N104*'Hypothèses'!$D$70</f>
      </c>
      <c r="O112" s="1" t="e">
        <f>'Hypothèses'!$D$69+O104*'Hypothèses'!$D$70</f>
      </c>
      <c r="P112" s="1" t="e">
        <f>'Hypothèses'!$D$69+P104*'Hypothèses'!$D$70</f>
      </c>
      <c r="Q112" s="1" t="e">
        <f>'Hypothèses'!$D$69+Q104*'Hypothèses'!$D$70</f>
      </c>
      <c r="R112" s="1" t="e">
        <f>'Hypothèses'!$D$69+R104*'Hypothèses'!$D$70</f>
      </c>
      <c r="S112" s="1" t="e">
        <f>'Hypothèses'!$D$69+S104*'Hypothèses'!$D$70</f>
      </c>
      <c r="T112" s="1" t="e">
        <f>'Hypothèses'!$D$69+T104*'Hypothèses'!$D$70</f>
      </c>
      <c r="U112" s="1" t="e">
        <f>'Hypothèses'!$D$69+U104*'Hypothèses'!$D$70</f>
      </c>
      <c r="V112" s="1" t="e">
        <f>'Hypothèses'!$D$69+V104*'Hypothèses'!$D$70</f>
      </c>
      <c r="W112" s="1" t="e">
        <f>'Hypothèses'!$D$69+W104*'Hypothèses'!$D$70</f>
      </c>
      <c r="X112" s="1" t="e">
        <f>'Hypothèses'!$D$69+X104*'Hypothèses'!$D$70</f>
      </c>
      <c r="Y112" s="1" t="e">
        <f>'Hypothèses'!$D$69+Y104*'Hypothèses'!$D$70</f>
      </c>
      <c r="Z112" s="1" t="e">
        <f>'Hypothèses'!$D$69+Z104*'Hypothèses'!$D$70</f>
      </c>
      <c r="AA112" s="1" t="e">
        <f>'Hypothèses'!$D$69+AA104*'Hypothèses'!$D$70</f>
      </c>
      <c r="AB112" s="1" t="e">
        <f>'Hypothèses'!$D$69+AB104*'Hypothèses'!$D$70</f>
      </c>
      <c r="AC112" s="1" t="e">
        <f>'Hypothèses'!$D$69+AC104*'Hypothèses'!$D$70</f>
      </c>
      <c r="AD112" s="1" t="e">
        <f>'Hypothèses'!$D$69+AD104*'Hypothèses'!$D$70</f>
      </c>
      <c r="AE112" s="1" t="e">
        <f>'Hypothèses'!$D$69+AE104*'Hypothèses'!$D$70</f>
      </c>
      <c r="AF112" s="1" t="e">
        <f>'Hypothèses'!$D$69+AF104*'Hypothèses'!$D$70</f>
      </c>
      <c r="AG112" s="1" t="e">
        <f>'Hypothèses'!$D$69+AG104*'Hypothèses'!$D$70</f>
      </c>
      <c r="AH112" s="1" t="e">
        <f>'Hypothèses'!$D$69+AH104*'Hypothèses'!$D$70</f>
      </c>
      <c r="AI112" s="1" t="e">
        <f>'Hypothèses'!$D$69+AI104*'Hypothèses'!$D$70</f>
      </c>
      <c r="AJ112" s="1" t="e">
        <f>'Hypothèses'!$D$69+AJ104*'Hypothèses'!$D$70</f>
      </c>
      <c r="AK112" s="1" t="e">
        <f>'Hypothèses'!$D$69+AK104*'Hypothèses'!$D$70</f>
      </c>
      <c r="AL112" s="1" t="e">
        <f>'Hypothèses'!$D$69+AL104*'Hypothèses'!$D$70</f>
      </c>
      <c r="AM112" s="1" t="e">
        <f>'Hypothèses'!$D$69+AM104*'Hypothèses'!$D$70</f>
      </c>
      <c r="AN112" s="1" t="e">
        <f>'Hypothèses'!$D$69+AN104*'Hypothèses'!$D$70</f>
      </c>
      <c r="AO112" s="1" t="e">
        <f>'Hypothèses'!$D$69+AO104*'Hypothèses'!$D$70</f>
      </c>
      <c r="AP112" s="1" t="e">
        <f>'Hypothèses'!$D$69+AP104*'Hypothèses'!$D$70</f>
      </c>
      <c r="AQ112" s="1" t="e">
        <f>'Hypothèses'!$D$69+AQ104*'Hypothèses'!$D$70</f>
      </c>
      <c r="AR112" s="1" t="e">
        <f>'Hypothèses'!$D$69+AR104*'Hypothèses'!$D$70</f>
      </c>
      <c r="AS112" s="1" t="e">
        <f>'Hypothèses'!$D$69+AS104*'Hypothèses'!$D$70</f>
      </c>
      <c r="AT112" s="1" t="e">
        <f>'Hypothèses'!$D$69+AT104*'Hypothèses'!$D$70</f>
      </c>
      <c r="AU112" s="1" t="e">
        <f>'Hypothèses'!$D$69+AU104*'Hypothèses'!$D$70</f>
      </c>
      <c r="AV112" s="1" t="e">
        <f>'Hypothèses'!$D$69+AV104*'Hypothèses'!$D$70</f>
      </c>
      <c r="AW112" s="1" t="e">
        <f>'Hypothèses'!$D$69+AW104*'Hypothèses'!$D$70</f>
      </c>
      <c r="AX112" s="1" t="e">
        <f>'Hypothèses'!$D$69+AX104*'Hypothèses'!$D$70</f>
      </c>
      <c r="AY112" s="1" t="e">
        <f>'Hypothèses'!$D$69+AY104*'Hypothèses'!$D$70</f>
      </c>
      <c r="AZ112" s="1" t="e">
        <f>'Hypothèses'!$D$69+AZ104*'Hypothèses'!$D$70</f>
      </c>
      <c r="BA112" s="1" t="e">
        <f>'Hypothèses'!$D$69+BA104*'Hypothèses'!$D$70</f>
      </c>
      <c r="BB112" s="1" t="e">
        <f>'Hypothèses'!$D$69+BB104*'Hypothèses'!$D$70</f>
      </c>
      <c r="BC112" s="1" t="e">
        <f>'Hypothèses'!$D$69+BC104*'Hypothèses'!$D$70</f>
      </c>
      <c r="BD112" s="1" t="e">
        <f>'Hypothèses'!$D$69+BD104*'Hypothèses'!$D$70</f>
      </c>
      <c r="BE112" s="1" t="e">
        <f>'Hypothèses'!$D$69+BE104*'Hypothèses'!$D$70</f>
      </c>
      <c r="BF112" s="1" t="e">
        <f>'Hypothèses'!$D$69+BF104*'Hypothèses'!$D$70</f>
      </c>
      <c r="BG112" s="1" t="e">
        <f>'Hypothèses'!$D$69+BG104*'Hypothèses'!$D$70</f>
      </c>
      <c r="BH112" s="1" t="e">
        <f>'Hypothèses'!$D$69+BH104*'Hypothèses'!$D$70</f>
      </c>
      <c r="BI112" s="1" t="e">
        <f>'Hypothèses'!$D$69+BI104*'Hypothèses'!$D$70</f>
      </c>
      <c r="BJ112" s="1" t="e">
        <f>'Hypothèses'!$D$69+BJ104*'Hypothèses'!$D$70</f>
      </c>
      <c r="BK112" s="1" t="e">
        <f>'Hypothèses'!$D$69+BK104*'Hypothèses'!$D$70</f>
      </c>
      <c r="BL112" s="1" t="e">
        <f>SUM(D112:O112)</f>
      </c>
      <c r="BM112" s="1" t="e">
        <f>SUM(P112:AA112)</f>
      </c>
      <c r="BN112" s="1" t="e">
        <f>SUM(AB112:AM112)</f>
      </c>
      <c r="BO112" s="1" t="e">
        <f>SUM(AN112:AY112)</f>
      </c>
      <c r="BP112" s="1" t="e">
        <f>SUM(AZ112:BK112)</f>
      </c>
    </row>
    <row r="113">
      <c r="A113" t="str">
        <v>Frais généraux</v>
      </c>
      <c r="B113" t="str">
        <v>€</v>
      </c>
      <c r="D113" s="1" t="e">
        <f>'Hypothèses'!$D$71*(1+'Hypothèses'!$D$72)^INT((1-1)/12)</f>
      </c>
      <c r="E113" s="1" t="e">
        <f>'Hypothèses'!$D$71*(1+'Hypothèses'!$D$72)^INT((2-1)/12)</f>
      </c>
      <c r="F113" s="1" t="e">
        <f>'Hypothèses'!$D$71*(1+'Hypothèses'!$D$72)^INT((3-1)/12)</f>
      </c>
      <c r="G113" s="1" t="e">
        <f>'Hypothèses'!$D$71*(1+'Hypothèses'!$D$72)^INT((4-1)/12)</f>
      </c>
      <c r="H113" s="1" t="e">
        <f>'Hypothèses'!$D$71*(1+'Hypothèses'!$D$72)^INT((5-1)/12)</f>
      </c>
      <c r="I113" s="1" t="e">
        <f>'Hypothèses'!$D$71*(1+'Hypothèses'!$D$72)^INT((6-1)/12)</f>
      </c>
      <c r="J113" s="1" t="e">
        <f>'Hypothèses'!$D$71*(1+'Hypothèses'!$D$72)^INT((7-1)/12)</f>
      </c>
      <c r="K113" s="1" t="e">
        <f>'Hypothèses'!$D$71*(1+'Hypothèses'!$D$72)^INT((8-1)/12)</f>
      </c>
      <c r="L113" s="1" t="e">
        <f>'Hypothèses'!$D$71*(1+'Hypothèses'!$D$72)^INT((9-1)/12)</f>
      </c>
      <c r="M113" s="1" t="e">
        <f>'Hypothèses'!$D$71*(1+'Hypothèses'!$D$72)^INT((10-1)/12)</f>
      </c>
      <c r="N113" s="1" t="e">
        <f>'Hypothèses'!$D$71*(1+'Hypothèses'!$D$72)^INT((11-1)/12)</f>
      </c>
      <c r="O113" s="1" t="e">
        <f>'Hypothèses'!$D$71*(1+'Hypothèses'!$D$72)^INT((12-1)/12)</f>
      </c>
      <c r="P113" s="1" t="e">
        <f>'Hypothèses'!$D$71*(1+'Hypothèses'!$D$72)^INT((13-1)/12)</f>
      </c>
      <c r="Q113" s="1" t="e">
        <f>'Hypothèses'!$D$71*(1+'Hypothèses'!$D$72)^INT((14-1)/12)</f>
      </c>
      <c r="R113" s="1" t="e">
        <f>'Hypothèses'!$D$71*(1+'Hypothèses'!$D$72)^INT((15-1)/12)</f>
      </c>
      <c r="S113" s="1" t="e">
        <f>'Hypothèses'!$D$71*(1+'Hypothèses'!$D$72)^INT((16-1)/12)</f>
      </c>
      <c r="T113" s="1" t="e">
        <f>'Hypothèses'!$D$71*(1+'Hypothèses'!$D$72)^INT((17-1)/12)</f>
      </c>
      <c r="U113" s="1" t="e">
        <f>'Hypothèses'!$D$71*(1+'Hypothèses'!$D$72)^INT((18-1)/12)</f>
      </c>
      <c r="V113" s="1" t="e">
        <f>'Hypothèses'!$D$71*(1+'Hypothèses'!$D$72)^INT((19-1)/12)</f>
      </c>
      <c r="W113" s="1" t="e">
        <f>'Hypothèses'!$D$71*(1+'Hypothèses'!$D$72)^INT((20-1)/12)</f>
      </c>
      <c r="X113" s="1" t="e">
        <f>'Hypothèses'!$D$71*(1+'Hypothèses'!$D$72)^INT((21-1)/12)</f>
      </c>
      <c r="Y113" s="1" t="e">
        <f>'Hypothèses'!$D$71*(1+'Hypothèses'!$D$72)^INT((22-1)/12)</f>
      </c>
      <c r="Z113" s="1" t="e">
        <f>'Hypothèses'!$D$71*(1+'Hypothèses'!$D$72)^INT((23-1)/12)</f>
      </c>
      <c r="AA113" s="1" t="e">
        <f>'Hypothèses'!$D$71*(1+'Hypothèses'!$D$72)^INT((24-1)/12)</f>
      </c>
      <c r="AB113" s="1" t="e">
        <f>'Hypothèses'!$D$71*(1+'Hypothèses'!$D$72)^INT((25-1)/12)</f>
      </c>
      <c r="AC113" s="1" t="e">
        <f>'Hypothèses'!$D$71*(1+'Hypothèses'!$D$72)^INT((26-1)/12)</f>
      </c>
      <c r="AD113" s="1" t="e">
        <f>'Hypothèses'!$D$71*(1+'Hypothèses'!$D$72)^INT((27-1)/12)</f>
      </c>
      <c r="AE113" s="1" t="e">
        <f>'Hypothèses'!$D$71*(1+'Hypothèses'!$D$72)^INT((28-1)/12)</f>
      </c>
      <c r="AF113" s="1" t="e">
        <f>'Hypothèses'!$D$71*(1+'Hypothèses'!$D$72)^INT((29-1)/12)</f>
      </c>
      <c r="AG113" s="1" t="e">
        <f>'Hypothèses'!$D$71*(1+'Hypothèses'!$D$72)^INT((30-1)/12)</f>
      </c>
      <c r="AH113" s="1" t="e">
        <f>'Hypothèses'!$D$71*(1+'Hypothèses'!$D$72)^INT((31-1)/12)</f>
      </c>
      <c r="AI113" s="1" t="e">
        <f>'Hypothèses'!$D$71*(1+'Hypothèses'!$D$72)^INT((32-1)/12)</f>
      </c>
      <c r="AJ113" s="1" t="e">
        <f>'Hypothèses'!$D$71*(1+'Hypothèses'!$D$72)^INT((33-1)/12)</f>
      </c>
      <c r="AK113" s="1" t="e">
        <f>'Hypothèses'!$D$71*(1+'Hypothèses'!$D$72)^INT((34-1)/12)</f>
      </c>
      <c r="AL113" s="1" t="e">
        <f>'Hypothèses'!$D$71*(1+'Hypothèses'!$D$72)^INT((35-1)/12)</f>
      </c>
      <c r="AM113" s="1" t="e">
        <f>'Hypothèses'!$D$71*(1+'Hypothèses'!$D$72)^INT((36-1)/12)</f>
      </c>
      <c r="AN113" s="1" t="e">
        <f>'Hypothèses'!$D$71*(1+'Hypothèses'!$D$72)^INT((37-1)/12)</f>
      </c>
      <c r="AO113" s="1" t="e">
        <f>'Hypothèses'!$D$71*(1+'Hypothèses'!$D$72)^INT((38-1)/12)</f>
      </c>
      <c r="AP113" s="1" t="e">
        <f>'Hypothèses'!$D$71*(1+'Hypothèses'!$D$72)^INT((39-1)/12)</f>
      </c>
      <c r="AQ113" s="1" t="e">
        <f>'Hypothèses'!$D$71*(1+'Hypothèses'!$D$72)^INT((40-1)/12)</f>
      </c>
      <c r="AR113" s="1" t="e">
        <f>'Hypothèses'!$D$71*(1+'Hypothèses'!$D$72)^INT((41-1)/12)</f>
      </c>
      <c r="AS113" s="1" t="e">
        <f>'Hypothèses'!$D$71*(1+'Hypothèses'!$D$72)^INT((42-1)/12)</f>
      </c>
      <c r="AT113" s="1" t="e">
        <f>'Hypothèses'!$D$71*(1+'Hypothèses'!$D$72)^INT((43-1)/12)</f>
      </c>
      <c r="AU113" s="1" t="e">
        <f>'Hypothèses'!$D$71*(1+'Hypothèses'!$D$72)^INT((44-1)/12)</f>
      </c>
      <c r="AV113" s="1" t="e">
        <f>'Hypothèses'!$D$71*(1+'Hypothèses'!$D$72)^INT((45-1)/12)</f>
      </c>
      <c r="AW113" s="1" t="e">
        <f>'Hypothèses'!$D$71*(1+'Hypothèses'!$D$72)^INT((46-1)/12)</f>
      </c>
      <c r="AX113" s="1" t="e">
        <f>'Hypothèses'!$D$71*(1+'Hypothèses'!$D$72)^INT((47-1)/12)</f>
      </c>
      <c r="AY113" s="1" t="e">
        <f>'Hypothèses'!$D$71*(1+'Hypothèses'!$D$72)^INT((48-1)/12)</f>
      </c>
      <c r="AZ113" s="1" t="e">
        <f>'Hypothèses'!$D$71*(1+'Hypothèses'!$D$72)^INT((49-1)/12)</f>
      </c>
      <c r="BA113" s="1" t="e">
        <f>'Hypothèses'!$D$71*(1+'Hypothèses'!$D$72)^INT((50-1)/12)</f>
      </c>
      <c r="BB113" s="1" t="e">
        <f>'Hypothèses'!$D$71*(1+'Hypothèses'!$D$72)^INT((51-1)/12)</f>
      </c>
      <c r="BC113" s="1" t="e">
        <f>'Hypothèses'!$D$71*(1+'Hypothèses'!$D$72)^INT((52-1)/12)</f>
      </c>
      <c r="BD113" s="1" t="e">
        <f>'Hypothèses'!$D$71*(1+'Hypothèses'!$D$72)^INT((53-1)/12)</f>
      </c>
      <c r="BE113" s="1" t="e">
        <f>'Hypothèses'!$D$71*(1+'Hypothèses'!$D$72)^INT((54-1)/12)</f>
      </c>
      <c r="BF113" s="1" t="e">
        <f>'Hypothèses'!$D$71*(1+'Hypothèses'!$D$72)^INT((55-1)/12)</f>
      </c>
      <c r="BG113" s="1" t="e">
        <f>'Hypothèses'!$D$71*(1+'Hypothèses'!$D$72)^INT((56-1)/12)</f>
      </c>
      <c r="BH113" s="1" t="e">
        <f>'Hypothèses'!$D$71*(1+'Hypothèses'!$D$72)^INT((57-1)/12)</f>
      </c>
      <c r="BI113" s="1" t="e">
        <f>'Hypothèses'!$D$71*(1+'Hypothèses'!$D$72)^INT((58-1)/12)</f>
      </c>
      <c r="BJ113" s="1" t="e">
        <f>'Hypothèses'!$D$71*(1+'Hypothèses'!$D$72)^INT((59-1)/12)</f>
      </c>
      <c r="BK113" s="1" t="e">
        <f>'Hypothèses'!$D$71*(1+'Hypothèses'!$D$72)^INT((60-1)/12)</f>
      </c>
      <c r="BL113" s="1" t="e">
        <f>SUM(D113:O113)</f>
      </c>
      <c r="BM113" s="1" t="e">
        <f>SUM(P113:AA113)</f>
      </c>
      <c r="BN113" s="1" t="e">
        <f>SUM(AB113:AM113)</f>
      </c>
      <c r="BO113" s="1" t="e">
        <f>SUM(AN113:AY113)</f>
      </c>
      <c r="BP113" s="1" t="e">
        <f>SUM(AZ113:BK113)</f>
      </c>
    </row>
    <row r="114">
      <c r="A114" t="str">
        <v>Total charges</v>
      </c>
      <c r="B114" t="str">
        <v>€</v>
      </c>
      <c r="D114" s="1" t="e">
        <f>D107+D108+D110+D111+D112+D113</f>
      </c>
      <c r="E114" s="1" t="e">
        <f>E107+E108+E110+E111+E112+E113</f>
      </c>
      <c r="F114" s="1" t="e">
        <f>F107+F108+F110+F111+F112+F113</f>
      </c>
      <c r="G114" s="1" t="e">
        <f>G107+G108+G110+G111+G112+G113</f>
      </c>
      <c r="H114" s="1" t="e">
        <f>H107+H108+H110+H111+H112+H113</f>
      </c>
      <c r="I114" s="1" t="e">
        <f>I107+I108+I110+I111+I112+I113</f>
      </c>
      <c r="J114" s="1" t="e">
        <f>J107+J108+J110+J111+J112+J113</f>
      </c>
      <c r="K114" s="1" t="e">
        <f>K107+K108+K110+K111+K112+K113</f>
      </c>
      <c r="L114" s="1" t="e">
        <f>L107+L108+L110+L111+L112+L113</f>
      </c>
      <c r="M114" s="1" t="e">
        <f>M107+M108+M110+M111+M112+M113</f>
      </c>
      <c r="N114" s="1" t="e">
        <f>N107+N108+N110+N111+N112+N113</f>
      </c>
      <c r="O114" s="1" t="e">
        <f>O107+O108+O110+O111+O112+O113</f>
      </c>
      <c r="P114" s="1" t="e">
        <f>P107+P108+P110+P111+P112+P113</f>
      </c>
      <c r="Q114" s="1" t="e">
        <f>Q107+Q108+Q110+Q111+Q112+Q113</f>
      </c>
      <c r="R114" s="1" t="e">
        <f>R107+R108+R110+R111+R112+R113</f>
      </c>
      <c r="S114" s="1" t="e">
        <f>S107+S108+S110+S111+S112+S113</f>
      </c>
      <c r="T114" s="1" t="e">
        <f>T107+T108+T110+T111+T112+T113</f>
      </c>
      <c r="U114" s="1" t="e">
        <f>U107+U108+U110+U111+U112+U113</f>
      </c>
      <c r="V114" s="1" t="e">
        <f>V107+V108+V110+V111+V112+V113</f>
      </c>
      <c r="W114" s="1" t="e">
        <f>W107+W108+W110+W111+W112+W113</f>
      </c>
      <c r="X114" s="1" t="e">
        <f>X107+X108+X110+X111+X112+X113</f>
      </c>
      <c r="Y114" s="1" t="e">
        <f>Y107+Y108+Y110+Y111+Y112+Y113</f>
      </c>
      <c r="Z114" s="1" t="e">
        <f>Z107+Z108+Z110+Z111+Z112+Z113</f>
      </c>
      <c r="AA114" s="1" t="e">
        <f>AA107+AA108+AA110+AA111+AA112+AA113</f>
      </c>
      <c r="AB114" s="1" t="e">
        <f>AB107+AB108+AB110+AB111+AB112+AB113</f>
      </c>
      <c r="AC114" s="1" t="e">
        <f>AC107+AC108+AC110+AC111+AC112+AC113</f>
      </c>
      <c r="AD114" s="1" t="e">
        <f>AD107+AD108+AD110+AD111+AD112+AD113</f>
      </c>
      <c r="AE114" s="1" t="e">
        <f>AE107+AE108+AE110+AE111+AE112+AE113</f>
      </c>
      <c r="AF114" s="1" t="e">
        <f>AF107+AF108+AF110+AF111+AF112+AF113</f>
      </c>
      <c r="AG114" s="1" t="e">
        <f>AG107+AG108+AG110+AG111+AG112+AG113</f>
      </c>
      <c r="AH114" s="1" t="e">
        <f>AH107+AH108+AH110+AH111+AH112+AH113</f>
      </c>
      <c r="AI114" s="1" t="e">
        <f>AI107+AI108+AI110+AI111+AI112+AI113</f>
      </c>
      <c r="AJ114" s="1" t="e">
        <f>AJ107+AJ108+AJ110+AJ111+AJ112+AJ113</f>
      </c>
      <c r="AK114" s="1" t="e">
        <f>AK107+AK108+AK110+AK111+AK112+AK113</f>
      </c>
      <c r="AL114" s="1" t="e">
        <f>AL107+AL108+AL110+AL111+AL112+AL113</f>
      </c>
      <c r="AM114" s="1" t="e">
        <f>AM107+AM108+AM110+AM111+AM112+AM113</f>
      </c>
      <c r="AN114" s="1" t="e">
        <f>AN107+AN108+AN110+AN111+AN112+AN113</f>
      </c>
      <c r="AO114" s="1" t="e">
        <f>AO107+AO108+AO110+AO111+AO112+AO113</f>
      </c>
      <c r="AP114" s="1" t="e">
        <f>AP107+AP108+AP110+AP111+AP112+AP113</f>
      </c>
      <c r="AQ114" s="1" t="e">
        <f>AQ107+AQ108+AQ110+AQ111+AQ112+AQ113</f>
      </c>
      <c r="AR114" s="1" t="e">
        <f>AR107+AR108+AR110+AR111+AR112+AR113</f>
      </c>
      <c r="AS114" s="1" t="e">
        <f>AS107+AS108+AS110+AS111+AS112+AS113</f>
      </c>
      <c r="AT114" s="1" t="e">
        <f>AT107+AT108+AT110+AT111+AT112+AT113</f>
      </c>
      <c r="AU114" s="1" t="e">
        <f>AU107+AU108+AU110+AU111+AU112+AU113</f>
      </c>
      <c r="AV114" s="1" t="e">
        <f>AV107+AV108+AV110+AV111+AV112+AV113</f>
      </c>
      <c r="AW114" s="1" t="e">
        <f>AW107+AW108+AW110+AW111+AW112+AW113</f>
      </c>
      <c r="AX114" s="1" t="e">
        <f>AX107+AX108+AX110+AX111+AX112+AX113</f>
      </c>
      <c r="AY114" s="1" t="e">
        <f>AY107+AY108+AY110+AY111+AY112+AY113</f>
      </c>
      <c r="AZ114" s="1" t="e">
        <f>AZ107+AZ108+AZ110+AZ111+AZ112+AZ113</f>
      </c>
      <c r="BA114" s="1" t="e">
        <f>BA107+BA108+BA110+BA111+BA112+BA113</f>
      </c>
      <c r="BB114" s="1" t="e">
        <f>BB107+BB108+BB110+BB111+BB112+BB113</f>
      </c>
      <c r="BC114" s="1" t="e">
        <f>BC107+BC108+BC110+BC111+BC112+BC113</f>
      </c>
      <c r="BD114" s="1" t="e">
        <f>BD107+BD108+BD110+BD111+BD112+BD113</f>
      </c>
      <c r="BE114" s="1" t="e">
        <f>BE107+BE108+BE110+BE111+BE112+BE113</f>
      </c>
      <c r="BF114" s="1" t="e">
        <f>BF107+BF108+BF110+BF111+BF112+BF113</f>
      </c>
      <c r="BG114" s="1" t="e">
        <f>BG107+BG108+BG110+BG111+BG112+BG113</f>
      </c>
      <c r="BH114" s="1" t="e">
        <f>BH107+BH108+BH110+BH111+BH112+BH113</f>
      </c>
      <c r="BI114" s="1" t="e">
        <f>BI107+BI108+BI110+BI111+BI112+BI113</f>
      </c>
      <c r="BJ114" s="1" t="e">
        <f>BJ107+BJ108+BJ110+BJ111+BJ112+BJ113</f>
      </c>
      <c r="BK114" s="1" t="e">
        <f>BK107+BK108+BK110+BK111+BK112+BK113</f>
      </c>
      <c r="BL114" s="1" t="e">
        <f>SUM(D114:O114)</f>
      </c>
      <c r="BM114" s="1" t="e">
        <f>SUM(P114:AA114)</f>
      </c>
      <c r="BN114" s="1" t="e">
        <f>SUM(AB114:AM114)</f>
      </c>
      <c r="BO114" s="1" t="e">
        <f>SUM(AN114:AY114)</f>
      </c>
      <c r="BP114" s="1" t="e">
        <f>SUM(AZ114:BK114)</f>
      </c>
    </row>
    <row r="116">
      <c r="A116" t="str">
        <v>4. Résultat et trésorerie</v>
      </c>
    </row>
    <row r="117">
      <c r="A117" t="str">
        <v>EBITDA</v>
      </c>
      <c r="B117" t="str">
        <v>€</v>
      </c>
      <c r="D117" s="1" t="e">
        <f>D104-D114</f>
      </c>
      <c r="E117" s="1" t="e">
        <f>E104-E114</f>
      </c>
      <c r="F117" s="1" t="e">
        <f>F104-F114</f>
      </c>
      <c r="G117" s="1" t="e">
        <f>G104-G114</f>
      </c>
      <c r="H117" s="1" t="e">
        <f>H104-H114</f>
      </c>
      <c r="I117" s="1" t="e">
        <f>I104-I114</f>
      </c>
      <c r="J117" s="1" t="e">
        <f>J104-J114</f>
      </c>
      <c r="K117" s="1" t="e">
        <f>K104-K114</f>
      </c>
      <c r="L117" s="1" t="e">
        <f>L104-L114</f>
      </c>
      <c r="M117" s="1" t="e">
        <f>M104-M114</f>
      </c>
      <c r="N117" s="1" t="e">
        <f>N104-N114</f>
      </c>
      <c r="O117" s="1" t="e">
        <f>O104-O114</f>
      </c>
      <c r="P117" s="1" t="e">
        <f>P104-P114</f>
      </c>
      <c r="Q117" s="1" t="e">
        <f>Q104-Q114</f>
      </c>
      <c r="R117" s="1" t="e">
        <f>R104-R114</f>
      </c>
      <c r="S117" s="1" t="e">
        <f>S104-S114</f>
      </c>
      <c r="T117" s="1" t="e">
        <f>T104-T114</f>
      </c>
      <c r="U117" s="1" t="e">
        <f>U104-U114</f>
      </c>
      <c r="V117" s="1" t="e">
        <f>V104-V114</f>
      </c>
      <c r="W117" s="1" t="e">
        <f>W104-W114</f>
      </c>
      <c r="X117" s="1" t="e">
        <f>X104-X114</f>
      </c>
      <c r="Y117" s="1" t="e">
        <f>Y104-Y114</f>
      </c>
      <c r="Z117" s="1" t="e">
        <f>Z104-Z114</f>
      </c>
      <c r="AA117" s="1" t="e">
        <f>AA104-AA114</f>
      </c>
      <c r="AB117" s="1" t="e">
        <f>AB104-AB114</f>
      </c>
      <c r="AC117" s="1" t="e">
        <f>AC104-AC114</f>
      </c>
      <c r="AD117" s="1" t="e">
        <f>AD104-AD114</f>
      </c>
      <c r="AE117" s="1" t="e">
        <f>AE104-AE114</f>
      </c>
      <c r="AF117" s="1" t="e">
        <f>AF104-AF114</f>
      </c>
      <c r="AG117" s="1" t="e">
        <f>AG104-AG114</f>
      </c>
      <c r="AH117" s="1" t="e">
        <f>AH104-AH114</f>
      </c>
      <c r="AI117" s="1" t="e">
        <f>AI104-AI114</f>
      </c>
      <c r="AJ117" s="1" t="e">
        <f>AJ104-AJ114</f>
      </c>
      <c r="AK117" s="1" t="e">
        <f>AK104-AK114</f>
      </c>
      <c r="AL117" s="1" t="e">
        <f>AL104-AL114</f>
      </c>
      <c r="AM117" s="1" t="e">
        <f>AM104-AM114</f>
      </c>
      <c r="AN117" s="1" t="e">
        <f>AN104-AN114</f>
      </c>
      <c r="AO117" s="1" t="e">
        <f>AO104-AO114</f>
      </c>
      <c r="AP117" s="1" t="e">
        <f>AP104-AP114</f>
      </c>
      <c r="AQ117" s="1" t="e">
        <f>AQ104-AQ114</f>
      </c>
      <c r="AR117" s="1" t="e">
        <f>AR104-AR114</f>
      </c>
      <c r="AS117" s="1" t="e">
        <f>AS104-AS114</f>
      </c>
      <c r="AT117" s="1" t="e">
        <f>AT104-AT114</f>
      </c>
      <c r="AU117" s="1" t="e">
        <f>AU104-AU114</f>
      </c>
      <c r="AV117" s="1" t="e">
        <f>AV104-AV114</f>
      </c>
      <c r="AW117" s="1" t="e">
        <f>AW104-AW114</f>
      </c>
      <c r="AX117" s="1" t="e">
        <f>AX104-AX114</f>
      </c>
      <c r="AY117" s="1" t="e">
        <f>AY104-AY114</f>
      </c>
      <c r="AZ117" s="1" t="e">
        <f>AZ104-AZ114</f>
      </c>
      <c r="BA117" s="1" t="e">
        <f>BA104-BA114</f>
      </c>
      <c r="BB117" s="1" t="e">
        <f>BB104-BB114</f>
      </c>
      <c r="BC117" s="1" t="e">
        <f>BC104-BC114</f>
      </c>
      <c r="BD117" s="1" t="e">
        <f>BD104-BD114</f>
      </c>
      <c r="BE117" s="1" t="e">
        <f>BE104-BE114</f>
      </c>
      <c r="BF117" s="1" t="e">
        <f>BF104-BF114</f>
      </c>
      <c r="BG117" s="1" t="e">
        <f>BG104-BG114</f>
      </c>
      <c r="BH117" s="1" t="e">
        <f>BH104-BH114</f>
      </c>
      <c r="BI117" s="1" t="e">
        <f>BI104-BI114</f>
      </c>
      <c r="BJ117" s="1" t="e">
        <f>BJ104-BJ114</f>
      </c>
      <c r="BK117" s="1" t="e">
        <f>BK104-BK114</f>
      </c>
      <c r="BL117" s="1" t="e">
        <f>SUM(D117:O117)</f>
      </c>
      <c r="BM117" s="1" t="e">
        <f>SUM(P117:AA117)</f>
      </c>
      <c r="BN117" s="1" t="e">
        <f>SUM(AB117:AM117)</f>
      </c>
      <c r="BO117" s="1" t="e">
        <f>SUM(AN117:AY117)</f>
      </c>
      <c r="BP117" s="1" t="e">
        <f>SUM(AZ117:BK117)</f>
      </c>
    </row>
    <row r="118">
      <c r="A118" t="str">
        <v>Marge EBITDA</v>
      </c>
      <c r="B118" t="str">
        <v>%</v>
      </c>
      <c r="D118" s="2" t="e">
        <f>IF(D104=0,0,D117/D104)</f>
      </c>
      <c r="E118" s="2" t="e">
        <f>IF(E104=0,0,E117/E104)</f>
      </c>
      <c r="F118" s="2" t="e">
        <f>IF(F104=0,0,F117/F104)</f>
      </c>
      <c r="G118" s="2" t="e">
        <f>IF(G104=0,0,G117/G104)</f>
      </c>
      <c r="H118" s="2" t="e">
        <f>IF(H104=0,0,H117/H104)</f>
      </c>
      <c r="I118" s="2" t="e">
        <f>IF(I104=0,0,I117/I104)</f>
      </c>
      <c r="J118" s="2" t="e">
        <f>IF(J104=0,0,J117/J104)</f>
      </c>
      <c r="K118" s="2" t="e">
        <f>IF(K104=0,0,K117/K104)</f>
      </c>
      <c r="L118" s="2" t="e">
        <f>IF(L104=0,0,L117/L104)</f>
      </c>
      <c r="M118" s="2" t="e">
        <f>IF(M104=0,0,M117/M104)</f>
      </c>
      <c r="N118" s="2" t="e">
        <f>IF(N104=0,0,N117/N104)</f>
      </c>
      <c r="O118" s="2" t="e">
        <f>IF(O104=0,0,O117/O104)</f>
      </c>
      <c r="P118" s="2" t="e">
        <f>IF(P104=0,0,P117/P104)</f>
      </c>
      <c r="Q118" s="2" t="e">
        <f>IF(Q104=0,0,Q117/Q104)</f>
      </c>
      <c r="R118" s="2" t="e">
        <f>IF(R104=0,0,R117/R104)</f>
      </c>
      <c r="S118" s="2" t="e">
        <f>IF(S104=0,0,S117/S104)</f>
      </c>
      <c r="T118" s="2" t="e">
        <f>IF(T104=0,0,T117/T104)</f>
      </c>
      <c r="U118" s="2" t="e">
        <f>IF(U104=0,0,U117/U104)</f>
      </c>
      <c r="V118" s="2" t="e">
        <f>IF(V104=0,0,V117/V104)</f>
      </c>
      <c r="W118" s="2" t="e">
        <f>IF(W104=0,0,W117/W104)</f>
      </c>
      <c r="X118" s="2" t="e">
        <f>IF(X104=0,0,X117/X104)</f>
      </c>
      <c r="Y118" s="2" t="e">
        <f>IF(Y104=0,0,Y117/Y104)</f>
      </c>
      <c r="Z118" s="2" t="e">
        <f>IF(Z104=0,0,Z117/Z104)</f>
      </c>
      <c r="AA118" s="2" t="e">
        <f>IF(AA104=0,0,AA117/AA104)</f>
      </c>
      <c r="AB118" s="2" t="e">
        <f>IF(AB104=0,0,AB117/AB104)</f>
      </c>
      <c r="AC118" s="2" t="e">
        <f>IF(AC104=0,0,AC117/AC104)</f>
      </c>
      <c r="AD118" s="2" t="e">
        <f>IF(AD104=0,0,AD117/AD104)</f>
      </c>
      <c r="AE118" s="2" t="e">
        <f>IF(AE104=0,0,AE117/AE104)</f>
      </c>
      <c r="AF118" s="2" t="e">
        <f>IF(AF104=0,0,AF117/AF104)</f>
      </c>
      <c r="AG118" s="2" t="e">
        <f>IF(AG104=0,0,AG117/AG104)</f>
      </c>
      <c r="AH118" s="2" t="e">
        <f>IF(AH104=0,0,AH117/AH104)</f>
      </c>
      <c r="AI118" s="2" t="e">
        <f>IF(AI104=0,0,AI117/AI104)</f>
      </c>
      <c r="AJ118" s="2" t="e">
        <f>IF(AJ104=0,0,AJ117/AJ104)</f>
      </c>
      <c r="AK118" s="2" t="e">
        <f>IF(AK104=0,0,AK117/AK104)</f>
      </c>
      <c r="AL118" s="2" t="e">
        <f>IF(AL104=0,0,AL117/AL104)</f>
      </c>
      <c r="AM118" s="2" t="e">
        <f>IF(AM104=0,0,AM117/AM104)</f>
      </c>
      <c r="AN118" s="2" t="e">
        <f>IF(AN104=0,0,AN117/AN104)</f>
      </c>
      <c r="AO118" s="2" t="e">
        <f>IF(AO104=0,0,AO117/AO104)</f>
      </c>
      <c r="AP118" s="2" t="e">
        <f>IF(AP104=0,0,AP117/AP104)</f>
      </c>
      <c r="AQ118" s="2" t="e">
        <f>IF(AQ104=0,0,AQ117/AQ104)</f>
      </c>
      <c r="AR118" s="2" t="e">
        <f>IF(AR104=0,0,AR117/AR104)</f>
      </c>
      <c r="AS118" s="2" t="e">
        <f>IF(AS104=0,0,AS117/AS104)</f>
      </c>
      <c r="AT118" s="2" t="e">
        <f>IF(AT104=0,0,AT117/AT104)</f>
      </c>
      <c r="AU118" s="2" t="e">
        <f>IF(AU104=0,0,AU117/AU104)</f>
      </c>
      <c r="AV118" s="2" t="e">
        <f>IF(AV104=0,0,AV117/AV104)</f>
      </c>
      <c r="AW118" s="2" t="e">
        <f>IF(AW104=0,0,AW117/AW104)</f>
      </c>
      <c r="AX118" s="2" t="e">
        <f>IF(AX104=0,0,AX117/AX104)</f>
      </c>
      <c r="AY118" s="2" t="e">
        <f>IF(AY104=0,0,AY117/AY104)</f>
      </c>
      <c r="AZ118" s="2" t="e">
        <f>IF(AZ104=0,0,AZ117/AZ104)</f>
      </c>
      <c r="BA118" s="2" t="e">
        <f>IF(BA104=0,0,BA117/BA104)</f>
      </c>
      <c r="BB118" s="2" t="e">
        <f>IF(BB104=0,0,BB117/BB104)</f>
      </c>
      <c r="BC118" s="2" t="e">
        <f>IF(BC104=0,0,BC117/BC104)</f>
      </c>
      <c r="BD118" s="2" t="e">
        <f>IF(BD104=0,0,BD117/BD104)</f>
      </c>
      <c r="BE118" s="2" t="e">
        <f>IF(BE104=0,0,BE117/BE104)</f>
      </c>
      <c r="BF118" s="2" t="e">
        <f>IF(BF104=0,0,BF117/BF104)</f>
      </c>
      <c r="BG118" s="2" t="e">
        <f>IF(BG104=0,0,BG117/BG104)</f>
      </c>
      <c r="BH118" s="2" t="e">
        <f>IF(BH104=0,0,BH117/BH104)</f>
      </c>
      <c r="BI118" s="2" t="e">
        <f>IF(BI104=0,0,BI117/BI104)</f>
      </c>
      <c r="BJ118" s="2" t="e">
        <f>IF(BJ104=0,0,BJ117/BJ104)</f>
      </c>
      <c r="BK118" s="2" t="e">
        <f>IF(BK104=0,0,BK117/BK104)</f>
      </c>
      <c r="BL118" s="2" t="e">
        <f>IF(BL104=0,0,BL117/BL104)</f>
      </c>
      <c r="BM118" s="2" t="e">
        <f>IF(BM104=0,0,BM117/BM104)</f>
      </c>
      <c r="BN118" s="2" t="e">
        <f>IF(BN104=0,0,BN117/BN104)</f>
      </c>
      <c r="BO118" s="2" t="e">
        <f>IF(BO104=0,0,BO117/BO104)</f>
      </c>
      <c r="BP118" s="2" t="e">
        <f>IF(BP104=0,0,BP117/BP104)</f>
      </c>
    </row>
    <row r="119">
      <c r="A119" t="str">
        <v>Amortissements</v>
      </c>
      <c r="B119" t="str">
        <v>€</v>
      </c>
      <c r="D119" s="1" t="e">
        <f>'Hypothèses'!$D$73</f>
      </c>
      <c r="E119" s="1" t="e">
        <f>'Hypothèses'!$D$73</f>
      </c>
      <c r="F119" s="1" t="e">
        <f>'Hypothèses'!$D$73</f>
      </c>
      <c r="G119" s="1" t="e">
        <f>'Hypothèses'!$D$73</f>
      </c>
      <c r="H119" s="1" t="e">
        <f>'Hypothèses'!$D$73</f>
      </c>
      <c r="I119" s="1" t="e">
        <f>'Hypothèses'!$D$73</f>
      </c>
      <c r="J119" s="1" t="e">
        <f>'Hypothèses'!$D$73</f>
      </c>
      <c r="K119" s="1" t="e">
        <f>'Hypothèses'!$D$73</f>
      </c>
      <c r="L119" s="1" t="e">
        <f>'Hypothèses'!$D$73</f>
      </c>
      <c r="M119" s="1" t="e">
        <f>'Hypothèses'!$D$73</f>
      </c>
      <c r="N119" s="1" t="e">
        <f>'Hypothèses'!$D$73</f>
      </c>
      <c r="O119" s="1" t="e">
        <f>'Hypothèses'!$D$73</f>
      </c>
      <c r="P119" s="1" t="e">
        <f>'Hypothèses'!$D$73</f>
      </c>
      <c r="Q119" s="1" t="e">
        <f>'Hypothèses'!$D$73</f>
      </c>
      <c r="R119" s="1" t="e">
        <f>'Hypothèses'!$D$73</f>
      </c>
      <c r="S119" s="1" t="e">
        <f>'Hypothèses'!$D$73</f>
      </c>
      <c r="T119" s="1" t="e">
        <f>'Hypothèses'!$D$73</f>
      </c>
      <c r="U119" s="1" t="e">
        <f>'Hypothèses'!$D$73</f>
      </c>
      <c r="V119" s="1" t="e">
        <f>'Hypothèses'!$D$73</f>
      </c>
      <c r="W119" s="1" t="e">
        <f>'Hypothèses'!$D$73</f>
      </c>
      <c r="X119" s="1" t="e">
        <f>'Hypothèses'!$D$73</f>
      </c>
      <c r="Y119" s="1" t="e">
        <f>'Hypothèses'!$D$73</f>
      </c>
      <c r="Z119" s="1" t="e">
        <f>'Hypothèses'!$D$73</f>
      </c>
      <c r="AA119" s="1" t="e">
        <f>'Hypothèses'!$D$73</f>
      </c>
      <c r="AB119" s="1" t="e">
        <f>'Hypothèses'!$D$73</f>
      </c>
      <c r="AC119" s="1" t="e">
        <f>'Hypothèses'!$D$73</f>
      </c>
      <c r="AD119" s="1" t="e">
        <f>'Hypothèses'!$D$73</f>
      </c>
      <c r="AE119" s="1" t="e">
        <f>'Hypothèses'!$D$73</f>
      </c>
      <c r="AF119" s="1" t="e">
        <f>'Hypothèses'!$D$73</f>
      </c>
      <c r="AG119" s="1" t="e">
        <f>'Hypothèses'!$D$73</f>
      </c>
      <c r="AH119" s="1" t="e">
        <f>'Hypothèses'!$D$73</f>
      </c>
      <c r="AI119" s="1" t="e">
        <f>'Hypothèses'!$D$73</f>
      </c>
      <c r="AJ119" s="1" t="e">
        <f>'Hypothèses'!$D$73</f>
      </c>
      <c r="AK119" s="1" t="e">
        <f>'Hypothèses'!$D$73</f>
      </c>
      <c r="AL119" s="1" t="e">
        <f>'Hypothèses'!$D$73</f>
      </c>
      <c r="AM119" s="1" t="e">
        <f>'Hypothèses'!$D$73</f>
      </c>
      <c r="AN119" s="1" t="e">
        <f>'Hypothèses'!$D$73</f>
      </c>
      <c r="AO119" s="1" t="e">
        <f>'Hypothèses'!$D$73</f>
      </c>
      <c r="AP119" s="1" t="e">
        <f>'Hypothèses'!$D$73</f>
      </c>
      <c r="AQ119" s="1" t="e">
        <f>'Hypothèses'!$D$73</f>
      </c>
      <c r="AR119" s="1" t="e">
        <f>'Hypothèses'!$D$73</f>
      </c>
      <c r="AS119" s="1" t="e">
        <f>'Hypothèses'!$D$73</f>
      </c>
      <c r="AT119" s="1" t="e">
        <f>'Hypothèses'!$D$73</f>
      </c>
      <c r="AU119" s="1" t="e">
        <f>'Hypothèses'!$D$73</f>
      </c>
      <c r="AV119" s="1" t="e">
        <f>'Hypothèses'!$D$73</f>
      </c>
      <c r="AW119" s="1" t="e">
        <f>'Hypothèses'!$D$73</f>
      </c>
      <c r="AX119" s="1" t="e">
        <f>'Hypothèses'!$D$73</f>
      </c>
      <c r="AY119" s="1" t="e">
        <f>'Hypothèses'!$D$73</f>
      </c>
      <c r="AZ119" s="1" t="e">
        <f>'Hypothèses'!$D$73</f>
      </c>
      <c r="BA119" s="1" t="e">
        <f>'Hypothèses'!$D$73</f>
      </c>
      <c r="BB119" s="1" t="e">
        <f>'Hypothèses'!$D$73</f>
      </c>
      <c r="BC119" s="1" t="e">
        <f>'Hypothèses'!$D$73</f>
      </c>
      <c r="BD119" s="1" t="e">
        <f>'Hypothèses'!$D$73</f>
      </c>
      <c r="BE119" s="1" t="e">
        <f>'Hypothèses'!$D$73</f>
      </c>
      <c r="BF119" s="1" t="e">
        <f>'Hypothèses'!$D$73</f>
      </c>
      <c r="BG119" s="1" t="e">
        <f>'Hypothèses'!$D$73</f>
      </c>
      <c r="BH119" s="1" t="e">
        <f>'Hypothèses'!$D$73</f>
      </c>
      <c r="BI119" s="1" t="e">
        <f>'Hypothèses'!$D$73</f>
      </c>
      <c r="BJ119" s="1" t="e">
        <f>'Hypothèses'!$D$73</f>
      </c>
      <c r="BK119" s="1" t="e">
        <f>'Hypothèses'!$D$73</f>
      </c>
      <c r="BL119" s="1" t="e">
        <f>SUM(D119:O119)</f>
      </c>
      <c r="BM119" s="1" t="e">
        <f>SUM(P119:AA119)</f>
      </c>
      <c r="BN119" s="1" t="e">
        <f>SUM(AB119:AM119)</f>
      </c>
      <c r="BO119" s="1" t="e">
        <f>SUM(AN119:AY119)</f>
      </c>
      <c r="BP119" s="1" t="e">
        <f>SUM(AZ119:BK119)</f>
      </c>
    </row>
    <row r="120">
      <c r="A120" t="str">
        <v>Impôt (simplifié)</v>
      </c>
      <c r="B120" t="str">
        <v>€</v>
      </c>
      <c r="D120" s="1" t="e">
        <f>MAX(0,D117-D119)*'Hypothèses'!$D$74</f>
      </c>
      <c r="E120" s="1" t="e">
        <f>MAX(0,E117-E119)*'Hypothèses'!$D$74</f>
      </c>
      <c r="F120" s="1" t="e">
        <f>MAX(0,F117-F119)*'Hypothèses'!$D$74</f>
      </c>
      <c r="G120" s="1" t="e">
        <f>MAX(0,G117-G119)*'Hypothèses'!$D$74</f>
      </c>
      <c r="H120" s="1" t="e">
        <f>MAX(0,H117-H119)*'Hypothèses'!$D$74</f>
      </c>
      <c r="I120" s="1" t="e">
        <f>MAX(0,I117-I119)*'Hypothèses'!$D$74</f>
      </c>
      <c r="J120" s="1" t="e">
        <f>MAX(0,J117-J119)*'Hypothèses'!$D$74</f>
      </c>
      <c r="K120" s="1" t="e">
        <f>MAX(0,K117-K119)*'Hypothèses'!$D$74</f>
      </c>
      <c r="L120" s="1" t="e">
        <f>MAX(0,L117-L119)*'Hypothèses'!$D$74</f>
      </c>
      <c r="M120" s="1" t="e">
        <f>MAX(0,M117-M119)*'Hypothèses'!$D$74</f>
      </c>
      <c r="N120" s="1" t="e">
        <f>MAX(0,N117-N119)*'Hypothèses'!$D$74</f>
      </c>
      <c r="O120" s="1" t="e">
        <f>MAX(0,O117-O119)*'Hypothèses'!$D$74</f>
      </c>
      <c r="P120" s="1" t="e">
        <f>MAX(0,P117-P119)*'Hypothèses'!$D$74</f>
      </c>
      <c r="Q120" s="1" t="e">
        <f>MAX(0,Q117-Q119)*'Hypothèses'!$D$74</f>
      </c>
      <c r="R120" s="1" t="e">
        <f>MAX(0,R117-R119)*'Hypothèses'!$D$74</f>
      </c>
      <c r="S120" s="1" t="e">
        <f>MAX(0,S117-S119)*'Hypothèses'!$D$74</f>
      </c>
      <c r="T120" s="1" t="e">
        <f>MAX(0,T117-T119)*'Hypothèses'!$D$74</f>
      </c>
      <c r="U120" s="1" t="e">
        <f>MAX(0,U117-U119)*'Hypothèses'!$D$74</f>
      </c>
      <c r="V120" s="1" t="e">
        <f>MAX(0,V117-V119)*'Hypothèses'!$D$74</f>
      </c>
      <c r="W120" s="1" t="e">
        <f>MAX(0,W117-W119)*'Hypothèses'!$D$74</f>
      </c>
      <c r="X120" s="1" t="e">
        <f>MAX(0,X117-X119)*'Hypothèses'!$D$74</f>
      </c>
      <c r="Y120" s="1" t="e">
        <f>MAX(0,Y117-Y119)*'Hypothèses'!$D$74</f>
      </c>
      <c r="Z120" s="1" t="e">
        <f>MAX(0,Z117-Z119)*'Hypothèses'!$D$74</f>
      </c>
      <c r="AA120" s="1" t="e">
        <f>MAX(0,AA117-AA119)*'Hypothèses'!$D$74</f>
      </c>
      <c r="AB120" s="1" t="e">
        <f>MAX(0,AB117-AB119)*'Hypothèses'!$D$74</f>
      </c>
      <c r="AC120" s="1" t="e">
        <f>MAX(0,AC117-AC119)*'Hypothèses'!$D$74</f>
      </c>
      <c r="AD120" s="1" t="e">
        <f>MAX(0,AD117-AD119)*'Hypothèses'!$D$74</f>
      </c>
      <c r="AE120" s="1" t="e">
        <f>MAX(0,AE117-AE119)*'Hypothèses'!$D$74</f>
      </c>
      <c r="AF120" s="1" t="e">
        <f>MAX(0,AF117-AF119)*'Hypothèses'!$D$74</f>
      </c>
      <c r="AG120" s="1" t="e">
        <f>MAX(0,AG117-AG119)*'Hypothèses'!$D$74</f>
      </c>
      <c r="AH120" s="1" t="e">
        <f>MAX(0,AH117-AH119)*'Hypothèses'!$D$74</f>
      </c>
      <c r="AI120" s="1" t="e">
        <f>MAX(0,AI117-AI119)*'Hypothèses'!$D$74</f>
      </c>
      <c r="AJ120" s="1" t="e">
        <f>MAX(0,AJ117-AJ119)*'Hypothèses'!$D$74</f>
      </c>
      <c r="AK120" s="1" t="e">
        <f>MAX(0,AK117-AK119)*'Hypothèses'!$D$74</f>
      </c>
      <c r="AL120" s="1" t="e">
        <f>MAX(0,AL117-AL119)*'Hypothèses'!$D$74</f>
      </c>
      <c r="AM120" s="1" t="e">
        <f>MAX(0,AM117-AM119)*'Hypothèses'!$D$74</f>
      </c>
      <c r="AN120" s="1" t="e">
        <f>MAX(0,AN117-AN119)*'Hypothèses'!$D$74</f>
      </c>
      <c r="AO120" s="1" t="e">
        <f>MAX(0,AO117-AO119)*'Hypothèses'!$D$74</f>
      </c>
      <c r="AP120" s="1" t="e">
        <f>MAX(0,AP117-AP119)*'Hypothèses'!$D$74</f>
      </c>
      <c r="AQ120" s="1" t="e">
        <f>MAX(0,AQ117-AQ119)*'Hypothèses'!$D$74</f>
      </c>
      <c r="AR120" s="1" t="e">
        <f>MAX(0,AR117-AR119)*'Hypothèses'!$D$74</f>
      </c>
      <c r="AS120" s="1" t="e">
        <f>MAX(0,AS117-AS119)*'Hypothèses'!$D$74</f>
      </c>
      <c r="AT120" s="1" t="e">
        <f>MAX(0,AT117-AT119)*'Hypothèses'!$D$74</f>
      </c>
      <c r="AU120" s="1" t="e">
        <f>MAX(0,AU117-AU119)*'Hypothèses'!$D$74</f>
      </c>
      <c r="AV120" s="1" t="e">
        <f>MAX(0,AV117-AV119)*'Hypothèses'!$D$74</f>
      </c>
      <c r="AW120" s="1" t="e">
        <f>MAX(0,AW117-AW119)*'Hypothèses'!$D$74</f>
      </c>
      <c r="AX120" s="1" t="e">
        <f>MAX(0,AX117-AX119)*'Hypothèses'!$D$74</f>
      </c>
      <c r="AY120" s="1" t="e">
        <f>MAX(0,AY117-AY119)*'Hypothèses'!$D$74</f>
      </c>
      <c r="AZ120" s="1" t="e">
        <f>MAX(0,AZ117-AZ119)*'Hypothèses'!$D$74</f>
      </c>
      <c r="BA120" s="1" t="e">
        <f>MAX(0,BA117-BA119)*'Hypothèses'!$D$74</f>
      </c>
      <c r="BB120" s="1" t="e">
        <f>MAX(0,BB117-BB119)*'Hypothèses'!$D$74</f>
      </c>
      <c r="BC120" s="1" t="e">
        <f>MAX(0,BC117-BC119)*'Hypothèses'!$D$74</f>
      </c>
      <c r="BD120" s="1" t="e">
        <f>MAX(0,BD117-BD119)*'Hypothèses'!$D$74</f>
      </c>
      <c r="BE120" s="1" t="e">
        <f>MAX(0,BE117-BE119)*'Hypothèses'!$D$74</f>
      </c>
      <c r="BF120" s="1" t="e">
        <f>MAX(0,BF117-BF119)*'Hypothèses'!$D$74</f>
      </c>
      <c r="BG120" s="1" t="e">
        <f>MAX(0,BG117-BG119)*'Hypothèses'!$D$74</f>
      </c>
      <c r="BH120" s="1" t="e">
        <f>MAX(0,BH117-BH119)*'Hypothèses'!$D$74</f>
      </c>
      <c r="BI120" s="1" t="e">
        <f>MAX(0,BI117-BI119)*'Hypothèses'!$D$74</f>
      </c>
      <c r="BJ120" s="1" t="e">
        <f>MAX(0,BJ117-BJ119)*'Hypothèses'!$D$74</f>
      </c>
      <c r="BK120" s="1" t="e">
        <f>MAX(0,BK117-BK119)*'Hypothèses'!$D$74</f>
      </c>
      <c r="BL120" s="1" t="e">
        <f>SUM(D120:O120)</f>
      </c>
      <c r="BM120" s="1" t="e">
        <f>SUM(P120:AA120)</f>
      </c>
      <c r="BN120" s="1" t="e">
        <f>SUM(AB120:AM120)</f>
      </c>
      <c r="BO120" s="1" t="e">
        <f>SUM(AN120:AY120)</f>
      </c>
      <c r="BP120" s="1" t="e">
        <f>SUM(AZ120:BK120)</f>
      </c>
    </row>
    <row r="121">
      <c r="A121" t="str">
        <v>Résultat net</v>
      </c>
      <c r="B121" t="str">
        <v>€</v>
      </c>
      <c r="D121" s="1" t="e">
        <f>D117-D119-D120</f>
      </c>
      <c r="E121" s="1" t="e">
        <f>E117-E119-E120</f>
      </c>
      <c r="F121" s="1" t="e">
        <f>F117-F119-F120</f>
      </c>
      <c r="G121" s="1" t="e">
        <f>G117-G119-G120</f>
      </c>
      <c r="H121" s="1" t="e">
        <f>H117-H119-H120</f>
      </c>
      <c r="I121" s="1" t="e">
        <f>I117-I119-I120</f>
      </c>
      <c r="J121" s="1" t="e">
        <f>J117-J119-J120</f>
      </c>
      <c r="K121" s="1" t="e">
        <f>K117-K119-K120</f>
      </c>
      <c r="L121" s="1" t="e">
        <f>L117-L119-L120</f>
      </c>
      <c r="M121" s="1" t="e">
        <f>M117-M119-M120</f>
      </c>
      <c r="N121" s="1" t="e">
        <f>N117-N119-N120</f>
      </c>
      <c r="O121" s="1" t="e">
        <f>O117-O119-O120</f>
      </c>
      <c r="P121" s="1" t="e">
        <f>P117-P119-P120</f>
      </c>
      <c r="Q121" s="1" t="e">
        <f>Q117-Q119-Q120</f>
      </c>
      <c r="R121" s="1" t="e">
        <f>R117-R119-R120</f>
      </c>
      <c r="S121" s="1" t="e">
        <f>S117-S119-S120</f>
      </c>
      <c r="T121" s="1" t="e">
        <f>T117-T119-T120</f>
      </c>
      <c r="U121" s="1" t="e">
        <f>U117-U119-U120</f>
      </c>
      <c r="V121" s="1" t="e">
        <f>V117-V119-V120</f>
      </c>
      <c r="W121" s="1" t="e">
        <f>W117-W119-W120</f>
      </c>
      <c r="X121" s="1" t="e">
        <f>X117-X119-X120</f>
      </c>
      <c r="Y121" s="1" t="e">
        <f>Y117-Y119-Y120</f>
      </c>
      <c r="Z121" s="1" t="e">
        <f>Z117-Z119-Z120</f>
      </c>
      <c r="AA121" s="1" t="e">
        <f>AA117-AA119-AA120</f>
      </c>
      <c r="AB121" s="1" t="e">
        <f>AB117-AB119-AB120</f>
      </c>
      <c r="AC121" s="1" t="e">
        <f>AC117-AC119-AC120</f>
      </c>
      <c r="AD121" s="1" t="e">
        <f>AD117-AD119-AD120</f>
      </c>
      <c r="AE121" s="1" t="e">
        <f>AE117-AE119-AE120</f>
      </c>
      <c r="AF121" s="1" t="e">
        <f>AF117-AF119-AF120</f>
      </c>
      <c r="AG121" s="1" t="e">
        <f>AG117-AG119-AG120</f>
      </c>
      <c r="AH121" s="1" t="e">
        <f>AH117-AH119-AH120</f>
      </c>
      <c r="AI121" s="1" t="e">
        <f>AI117-AI119-AI120</f>
      </c>
      <c r="AJ121" s="1" t="e">
        <f>AJ117-AJ119-AJ120</f>
      </c>
      <c r="AK121" s="1" t="e">
        <f>AK117-AK119-AK120</f>
      </c>
      <c r="AL121" s="1" t="e">
        <f>AL117-AL119-AL120</f>
      </c>
      <c r="AM121" s="1" t="e">
        <f>AM117-AM119-AM120</f>
      </c>
      <c r="AN121" s="1" t="e">
        <f>AN117-AN119-AN120</f>
      </c>
      <c r="AO121" s="1" t="e">
        <f>AO117-AO119-AO120</f>
      </c>
      <c r="AP121" s="1" t="e">
        <f>AP117-AP119-AP120</f>
      </c>
      <c r="AQ121" s="1" t="e">
        <f>AQ117-AQ119-AQ120</f>
      </c>
      <c r="AR121" s="1" t="e">
        <f>AR117-AR119-AR120</f>
      </c>
      <c r="AS121" s="1" t="e">
        <f>AS117-AS119-AS120</f>
      </c>
      <c r="AT121" s="1" t="e">
        <f>AT117-AT119-AT120</f>
      </c>
      <c r="AU121" s="1" t="e">
        <f>AU117-AU119-AU120</f>
      </c>
      <c r="AV121" s="1" t="e">
        <f>AV117-AV119-AV120</f>
      </c>
      <c r="AW121" s="1" t="e">
        <f>AW117-AW119-AW120</f>
      </c>
      <c r="AX121" s="1" t="e">
        <f>AX117-AX119-AX120</f>
      </c>
      <c r="AY121" s="1" t="e">
        <f>AY117-AY119-AY120</f>
      </c>
      <c r="AZ121" s="1" t="e">
        <f>AZ117-AZ119-AZ120</f>
      </c>
      <c r="BA121" s="1" t="e">
        <f>BA117-BA119-BA120</f>
      </c>
      <c r="BB121" s="1" t="e">
        <f>BB117-BB119-BB120</f>
      </c>
      <c r="BC121" s="1" t="e">
        <f>BC117-BC119-BC120</f>
      </c>
      <c r="BD121" s="1" t="e">
        <f>BD117-BD119-BD120</f>
      </c>
      <c r="BE121" s="1" t="e">
        <f>BE117-BE119-BE120</f>
      </c>
      <c r="BF121" s="1" t="e">
        <f>BF117-BF119-BF120</f>
      </c>
      <c r="BG121" s="1" t="e">
        <f>BG117-BG119-BG120</f>
      </c>
      <c r="BH121" s="1" t="e">
        <f>BH117-BH119-BH120</f>
      </c>
      <c r="BI121" s="1" t="e">
        <f>BI117-BI119-BI120</f>
      </c>
      <c r="BJ121" s="1" t="e">
        <f>BJ117-BJ119-BJ120</f>
      </c>
      <c r="BK121" s="1" t="e">
        <f>BK117-BK119-BK120</f>
      </c>
      <c r="BL121" s="1" t="e">
        <f>SUM(D121:O121)</f>
      </c>
      <c r="BM121" s="1" t="e">
        <f>SUM(P121:AA121)</f>
      </c>
      <c r="BN121" s="1" t="e">
        <f>SUM(AB121:AM121)</f>
      </c>
      <c r="BO121" s="1" t="e">
        <f>SUM(AN121:AY121)</f>
      </c>
      <c r="BP121" s="1" t="e">
        <f>SUM(AZ121:BK121)</f>
      </c>
    </row>
    <row r="122">
      <c r="A122" t="str">
        <v>Encaissements clients</v>
      </c>
      <c r="B122" t="str">
        <v>€</v>
      </c>
      <c r="D122" s="1" t="e">
        <f>D104*(1-'Hypothèses'!$D$75)+C104*'Hypothèses'!$D$75</f>
      </c>
      <c r="E122" s="1" t="e">
        <f>E104*(1-'Hypothèses'!$D$75)+D104*'Hypothèses'!$D$75</f>
      </c>
      <c r="F122" s="1" t="e">
        <f>F104*(1-'Hypothèses'!$D$75)+E104*'Hypothèses'!$D$75</f>
      </c>
      <c r="G122" s="1" t="e">
        <f>G104*(1-'Hypothèses'!$D$75)+F104*'Hypothèses'!$D$75</f>
      </c>
      <c r="H122" s="1" t="e">
        <f>H104*(1-'Hypothèses'!$D$75)+G104*'Hypothèses'!$D$75</f>
      </c>
      <c r="I122" s="1" t="e">
        <f>I104*(1-'Hypothèses'!$D$75)+H104*'Hypothèses'!$D$75</f>
      </c>
      <c r="J122" s="1" t="e">
        <f>J104*(1-'Hypothèses'!$D$75)+I104*'Hypothèses'!$D$75</f>
      </c>
      <c r="K122" s="1" t="e">
        <f>K104*(1-'Hypothèses'!$D$75)+J104*'Hypothèses'!$D$75</f>
      </c>
      <c r="L122" s="1" t="e">
        <f>L104*(1-'Hypothèses'!$D$75)+K104*'Hypothèses'!$D$75</f>
      </c>
      <c r="M122" s="1" t="e">
        <f>M104*(1-'Hypothèses'!$D$75)+L104*'Hypothèses'!$D$75</f>
      </c>
      <c r="N122" s="1" t="e">
        <f>N104*(1-'Hypothèses'!$D$75)+M104*'Hypothèses'!$D$75</f>
      </c>
      <c r="O122" s="1" t="e">
        <f>O104*(1-'Hypothèses'!$D$75)+N104*'Hypothèses'!$D$75</f>
      </c>
      <c r="P122" s="1" t="e">
        <f>P104*(1-'Hypothèses'!$D$75)+O104*'Hypothèses'!$D$75</f>
      </c>
      <c r="Q122" s="1" t="e">
        <f>Q104*(1-'Hypothèses'!$D$75)+P104*'Hypothèses'!$D$75</f>
      </c>
      <c r="R122" s="1" t="e">
        <f>R104*(1-'Hypothèses'!$D$75)+Q104*'Hypothèses'!$D$75</f>
      </c>
      <c r="S122" s="1" t="e">
        <f>S104*(1-'Hypothèses'!$D$75)+R104*'Hypothèses'!$D$75</f>
      </c>
      <c r="T122" s="1" t="e">
        <f>T104*(1-'Hypothèses'!$D$75)+S104*'Hypothèses'!$D$75</f>
      </c>
      <c r="U122" s="1" t="e">
        <f>U104*(1-'Hypothèses'!$D$75)+T104*'Hypothèses'!$D$75</f>
      </c>
      <c r="V122" s="1" t="e">
        <f>V104*(1-'Hypothèses'!$D$75)+U104*'Hypothèses'!$D$75</f>
      </c>
      <c r="W122" s="1" t="e">
        <f>W104*(1-'Hypothèses'!$D$75)+V104*'Hypothèses'!$D$75</f>
      </c>
      <c r="X122" s="1" t="e">
        <f>X104*(1-'Hypothèses'!$D$75)+W104*'Hypothèses'!$D$75</f>
      </c>
      <c r="Y122" s="1" t="e">
        <f>Y104*(1-'Hypothèses'!$D$75)+X104*'Hypothèses'!$D$75</f>
      </c>
      <c r="Z122" s="1" t="e">
        <f>Z104*(1-'Hypothèses'!$D$75)+Y104*'Hypothèses'!$D$75</f>
      </c>
      <c r="AA122" s="1" t="e">
        <f>AA104*(1-'Hypothèses'!$D$75)+Z104*'Hypothèses'!$D$75</f>
      </c>
      <c r="AB122" s="1" t="e">
        <f>AB104*(1-'Hypothèses'!$D$75)+AA104*'Hypothèses'!$D$75</f>
      </c>
      <c r="AC122" s="1" t="e">
        <f>AC104*(1-'Hypothèses'!$D$75)+AB104*'Hypothèses'!$D$75</f>
      </c>
      <c r="AD122" s="1" t="e">
        <f>AD104*(1-'Hypothèses'!$D$75)+AC104*'Hypothèses'!$D$75</f>
      </c>
      <c r="AE122" s="1" t="e">
        <f>AE104*(1-'Hypothèses'!$D$75)+AD104*'Hypothèses'!$D$75</f>
      </c>
      <c r="AF122" s="1" t="e">
        <f>AF104*(1-'Hypothèses'!$D$75)+AE104*'Hypothèses'!$D$75</f>
      </c>
      <c r="AG122" s="1" t="e">
        <f>AG104*(1-'Hypothèses'!$D$75)+AF104*'Hypothèses'!$D$75</f>
      </c>
      <c r="AH122" s="1" t="e">
        <f>AH104*(1-'Hypothèses'!$D$75)+AG104*'Hypothèses'!$D$75</f>
      </c>
      <c r="AI122" s="1" t="e">
        <f>AI104*(1-'Hypothèses'!$D$75)+AH104*'Hypothèses'!$D$75</f>
      </c>
      <c r="AJ122" s="1" t="e">
        <f>AJ104*(1-'Hypothèses'!$D$75)+AI104*'Hypothèses'!$D$75</f>
      </c>
      <c r="AK122" s="1" t="e">
        <f>AK104*(1-'Hypothèses'!$D$75)+AJ104*'Hypothèses'!$D$75</f>
      </c>
      <c r="AL122" s="1" t="e">
        <f>AL104*(1-'Hypothèses'!$D$75)+AK104*'Hypothèses'!$D$75</f>
      </c>
      <c r="AM122" s="1" t="e">
        <f>AM104*(1-'Hypothèses'!$D$75)+AL104*'Hypothèses'!$D$75</f>
      </c>
      <c r="AN122" s="1" t="e">
        <f>AN104*(1-'Hypothèses'!$D$75)+AM104*'Hypothèses'!$D$75</f>
      </c>
      <c r="AO122" s="1" t="e">
        <f>AO104*(1-'Hypothèses'!$D$75)+AN104*'Hypothèses'!$D$75</f>
      </c>
      <c r="AP122" s="1" t="e">
        <f>AP104*(1-'Hypothèses'!$D$75)+AO104*'Hypothèses'!$D$75</f>
      </c>
      <c r="AQ122" s="1" t="e">
        <f>AQ104*(1-'Hypothèses'!$D$75)+AP104*'Hypothèses'!$D$75</f>
      </c>
      <c r="AR122" s="1" t="e">
        <f>AR104*(1-'Hypothèses'!$D$75)+AQ104*'Hypothèses'!$D$75</f>
      </c>
      <c r="AS122" s="1" t="e">
        <f>AS104*(1-'Hypothèses'!$D$75)+AR104*'Hypothèses'!$D$75</f>
      </c>
      <c r="AT122" s="1" t="e">
        <f>AT104*(1-'Hypothèses'!$D$75)+AS104*'Hypothèses'!$D$75</f>
      </c>
      <c r="AU122" s="1" t="e">
        <f>AU104*(1-'Hypothèses'!$D$75)+AT104*'Hypothèses'!$D$75</f>
      </c>
      <c r="AV122" s="1" t="e">
        <f>AV104*(1-'Hypothèses'!$D$75)+AU104*'Hypothèses'!$D$75</f>
      </c>
      <c r="AW122" s="1" t="e">
        <f>AW104*(1-'Hypothèses'!$D$75)+AV104*'Hypothèses'!$D$75</f>
      </c>
      <c r="AX122" s="1" t="e">
        <f>AX104*(1-'Hypothèses'!$D$75)+AW104*'Hypothèses'!$D$75</f>
      </c>
      <c r="AY122" s="1" t="e">
        <f>AY104*(1-'Hypothèses'!$D$75)+AX104*'Hypothèses'!$D$75</f>
      </c>
      <c r="AZ122" s="1" t="e">
        <f>AZ104*(1-'Hypothèses'!$D$75)+AY104*'Hypothèses'!$D$75</f>
      </c>
      <c r="BA122" s="1" t="e">
        <f>BA104*(1-'Hypothèses'!$D$75)+AZ104*'Hypothèses'!$D$75</f>
      </c>
      <c r="BB122" s="1" t="e">
        <f>BB104*(1-'Hypothèses'!$D$75)+BA104*'Hypothèses'!$D$75</f>
      </c>
      <c r="BC122" s="1" t="e">
        <f>BC104*(1-'Hypothèses'!$D$75)+BB104*'Hypothèses'!$D$75</f>
      </c>
      <c r="BD122" s="1" t="e">
        <f>BD104*(1-'Hypothèses'!$D$75)+BC104*'Hypothèses'!$D$75</f>
      </c>
      <c r="BE122" s="1" t="e">
        <f>BE104*(1-'Hypothèses'!$D$75)+BD104*'Hypothèses'!$D$75</f>
      </c>
      <c r="BF122" s="1" t="e">
        <f>BF104*(1-'Hypothèses'!$D$75)+BE104*'Hypothèses'!$D$75</f>
      </c>
      <c r="BG122" s="1" t="e">
        <f>BG104*(1-'Hypothèses'!$D$75)+BF104*'Hypothèses'!$D$75</f>
      </c>
      <c r="BH122" s="1" t="e">
        <f>BH104*(1-'Hypothèses'!$D$75)+BG104*'Hypothèses'!$D$75</f>
      </c>
      <c r="BI122" s="1" t="e">
        <f>BI104*(1-'Hypothèses'!$D$75)+BH104*'Hypothèses'!$D$75</f>
      </c>
      <c r="BJ122" s="1" t="e">
        <f>BJ104*(1-'Hypothèses'!$D$75)+BI104*'Hypothèses'!$D$75</f>
      </c>
      <c r="BK122" s="1" t="e">
        <f>BK104*(1-'Hypothèses'!$D$75)+BJ104*'Hypothèses'!$D$75</f>
      </c>
      <c r="BL122" s="1" t="e">
        <f>SUM(D122:O122)</f>
      </c>
      <c r="BM122" s="1" t="e">
        <f>SUM(P122:AA122)</f>
      </c>
      <c r="BN122" s="1" t="e">
        <f>SUM(AB122:AM122)</f>
      </c>
      <c r="BO122" s="1" t="e">
        <f>SUM(AN122:AY122)</f>
      </c>
      <c r="BP122" s="1" t="e">
        <f>SUM(AZ122:BK122)</f>
      </c>
    </row>
    <row r="123">
      <c r="A123" t="str">
        <v>Décaissements</v>
      </c>
      <c r="B123" t="str">
        <v>€</v>
      </c>
      <c r="D123" s="1" t="e">
        <f>D114+D120</f>
      </c>
      <c r="E123" s="1" t="e">
        <f>E114+E120</f>
      </c>
      <c r="F123" s="1" t="e">
        <f>F114+F120</f>
      </c>
      <c r="G123" s="1" t="e">
        <f>G114+G120</f>
      </c>
      <c r="H123" s="1" t="e">
        <f>H114+H120</f>
      </c>
      <c r="I123" s="1" t="e">
        <f>I114+I120</f>
      </c>
      <c r="J123" s="1" t="e">
        <f>J114+J120</f>
      </c>
      <c r="K123" s="1" t="e">
        <f>K114+K120</f>
      </c>
      <c r="L123" s="1" t="e">
        <f>L114+L120</f>
      </c>
      <c r="M123" s="1" t="e">
        <f>M114+M120</f>
      </c>
      <c r="N123" s="1" t="e">
        <f>N114+N120</f>
      </c>
      <c r="O123" s="1" t="e">
        <f>O114+O120</f>
      </c>
      <c r="P123" s="1" t="e">
        <f>P114+P120</f>
      </c>
      <c r="Q123" s="1" t="e">
        <f>Q114+Q120</f>
      </c>
      <c r="R123" s="1" t="e">
        <f>R114+R120</f>
      </c>
      <c r="S123" s="1" t="e">
        <f>S114+S120</f>
      </c>
      <c r="T123" s="1" t="e">
        <f>T114+T120</f>
      </c>
      <c r="U123" s="1" t="e">
        <f>U114+U120</f>
      </c>
      <c r="V123" s="1" t="e">
        <f>V114+V120</f>
      </c>
      <c r="W123" s="1" t="e">
        <f>W114+W120</f>
      </c>
      <c r="X123" s="1" t="e">
        <f>X114+X120</f>
      </c>
      <c r="Y123" s="1" t="e">
        <f>Y114+Y120</f>
      </c>
      <c r="Z123" s="1" t="e">
        <f>Z114+Z120</f>
      </c>
      <c r="AA123" s="1" t="e">
        <f>AA114+AA120</f>
      </c>
      <c r="AB123" s="1" t="e">
        <f>AB114+AB120</f>
      </c>
      <c r="AC123" s="1" t="e">
        <f>AC114+AC120</f>
      </c>
      <c r="AD123" s="1" t="e">
        <f>AD114+AD120</f>
      </c>
      <c r="AE123" s="1" t="e">
        <f>AE114+AE120</f>
      </c>
      <c r="AF123" s="1" t="e">
        <f>AF114+AF120</f>
      </c>
      <c r="AG123" s="1" t="e">
        <f>AG114+AG120</f>
      </c>
      <c r="AH123" s="1" t="e">
        <f>AH114+AH120</f>
      </c>
      <c r="AI123" s="1" t="e">
        <f>AI114+AI120</f>
      </c>
      <c r="AJ123" s="1" t="e">
        <f>AJ114+AJ120</f>
      </c>
      <c r="AK123" s="1" t="e">
        <f>AK114+AK120</f>
      </c>
      <c r="AL123" s="1" t="e">
        <f>AL114+AL120</f>
      </c>
      <c r="AM123" s="1" t="e">
        <f>AM114+AM120</f>
      </c>
      <c r="AN123" s="1" t="e">
        <f>AN114+AN120</f>
      </c>
      <c r="AO123" s="1" t="e">
        <f>AO114+AO120</f>
      </c>
      <c r="AP123" s="1" t="e">
        <f>AP114+AP120</f>
      </c>
      <c r="AQ123" s="1" t="e">
        <f>AQ114+AQ120</f>
      </c>
      <c r="AR123" s="1" t="e">
        <f>AR114+AR120</f>
      </c>
      <c r="AS123" s="1" t="e">
        <f>AS114+AS120</f>
      </c>
      <c r="AT123" s="1" t="e">
        <f>AT114+AT120</f>
      </c>
      <c r="AU123" s="1" t="e">
        <f>AU114+AU120</f>
      </c>
      <c r="AV123" s="1" t="e">
        <f>AV114+AV120</f>
      </c>
      <c r="AW123" s="1" t="e">
        <f>AW114+AW120</f>
      </c>
      <c r="AX123" s="1" t="e">
        <f>AX114+AX120</f>
      </c>
      <c r="AY123" s="1" t="e">
        <f>AY114+AY120</f>
      </c>
      <c r="AZ123" s="1" t="e">
        <f>AZ114+AZ120</f>
      </c>
      <c r="BA123" s="1" t="e">
        <f>BA114+BA120</f>
      </c>
      <c r="BB123" s="1" t="e">
        <f>BB114+BB120</f>
      </c>
      <c r="BC123" s="1" t="e">
        <f>BC114+BC120</f>
      </c>
      <c r="BD123" s="1" t="e">
        <f>BD114+BD120</f>
      </c>
      <c r="BE123" s="1" t="e">
        <f>BE114+BE120</f>
      </c>
      <c r="BF123" s="1" t="e">
        <f>BF114+BF120</f>
      </c>
      <c r="BG123" s="1" t="e">
        <f>BG114+BG120</f>
      </c>
      <c r="BH123" s="1" t="e">
        <f>BH114+BH120</f>
      </c>
      <c r="BI123" s="1" t="e">
        <f>BI114+BI120</f>
      </c>
      <c r="BJ123" s="1" t="e">
        <f>BJ114+BJ120</f>
      </c>
      <c r="BK123" s="1" t="e">
        <f>BK114+BK120</f>
      </c>
      <c r="BL123" s="1" t="e">
        <f>SUM(D123:O123)</f>
      </c>
      <c r="BM123" s="1" t="e">
        <f>SUM(P123:AA123)</f>
      </c>
      <c r="BN123" s="1" t="e">
        <f>SUM(AB123:AM123)</f>
      </c>
      <c r="BO123" s="1" t="e">
        <f>SUM(AN123:AY123)</f>
      </c>
      <c r="BP123" s="1" t="e">
        <f>SUM(AZ123:BK123)</f>
      </c>
    </row>
    <row r="124">
      <c r="A124" t="str">
        <v>Trésorerie fin de mois</v>
      </c>
      <c r="B124" t="str">
        <v>€</v>
      </c>
      <c r="C124" s="1" t="e">
        <f>'Hypothèses'!$D$76</f>
      </c>
      <c r="D124" s="1" t="e">
        <f>C124+D122-D123</f>
      </c>
      <c r="E124" s="1" t="e">
        <f>D124+E122-E123</f>
      </c>
      <c r="F124" s="1" t="e">
        <f>E124+F122-F123</f>
      </c>
      <c r="G124" s="1" t="e">
        <f>F124+G122-G123</f>
      </c>
      <c r="H124" s="1" t="e">
        <f>G124+H122-H123</f>
      </c>
      <c r="I124" s="1" t="e">
        <f>H124+I122-I123</f>
      </c>
      <c r="J124" s="1" t="e">
        <f>I124+J122-J123</f>
      </c>
      <c r="K124" s="1" t="e">
        <f>J124+K122-K123</f>
      </c>
      <c r="L124" s="1" t="e">
        <f>K124+L122-L123</f>
      </c>
      <c r="M124" s="1" t="e">
        <f>L124+M122-M123</f>
      </c>
      <c r="N124" s="1" t="e">
        <f>M124+N122-N123</f>
      </c>
      <c r="O124" s="1" t="e">
        <f>N124+O122-O123</f>
      </c>
      <c r="P124" s="1" t="e">
        <f>O124+P122-P123</f>
      </c>
      <c r="Q124" s="1" t="e">
        <f>P124+Q122-Q123</f>
      </c>
      <c r="R124" s="1" t="e">
        <f>Q124+R122-R123</f>
      </c>
      <c r="S124" s="1" t="e">
        <f>R124+S122-S123</f>
      </c>
      <c r="T124" s="1" t="e">
        <f>S124+T122-T123</f>
      </c>
      <c r="U124" s="1" t="e">
        <f>T124+U122-U123</f>
      </c>
      <c r="V124" s="1" t="e">
        <f>U124+V122-V123</f>
      </c>
      <c r="W124" s="1" t="e">
        <f>V124+W122-W123</f>
      </c>
      <c r="X124" s="1" t="e">
        <f>W124+X122-X123</f>
      </c>
      <c r="Y124" s="1" t="e">
        <f>X124+Y122-Y123</f>
      </c>
      <c r="Z124" s="1" t="e">
        <f>Y124+Z122-Z123</f>
      </c>
      <c r="AA124" s="1" t="e">
        <f>Z124+AA122-AA123</f>
      </c>
      <c r="AB124" s="1" t="e">
        <f>AA124+AB122-AB123</f>
      </c>
      <c r="AC124" s="1" t="e">
        <f>AB124+AC122-AC123</f>
      </c>
      <c r="AD124" s="1" t="e">
        <f>AC124+AD122-AD123</f>
      </c>
      <c r="AE124" s="1" t="e">
        <f>AD124+AE122-AE123</f>
      </c>
      <c r="AF124" s="1" t="e">
        <f>AE124+AF122-AF123</f>
      </c>
      <c r="AG124" s="1" t="e">
        <f>AF124+AG122-AG123</f>
      </c>
      <c r="AH124" s="1" t="e">
        <f>AG124+AH122-AH123</f>
      </c>
      <c r="AI124" s="1" t="e">
        <f>AH124+AI122-AI123</f>
      </c>
      <c r="AJ124" s="1" t="e">
        <f>AI124+AJ122-AJ123</f>
      </c>
      <c r="AK124" s="1" t="e">
        <f>AJ124+AK122-AK123</f>
      </c>
      <c r="AL124" s="1" t="e">
        <f>AK124+AL122-AL123</f>
      </c>
      <c r="AM124" s="1" t="e">
        <f>AL124+AM122-AM123</f>
      </c>
      <c r="AN124" s="1" t="e">
        <f>AM124+AN122-AN123</f>
      </c>
      <c r="AO124" s="1" t="e">
        <f>AN124+AO122-AO123</f>
      </c>
      <c r="AP124" s="1" t="e">
        <f>AO124+AP122-AP123</f>
      </c>
      <c r="AQ124" s="1" t="e">
        <f>AP124+AQ122-AQ123</f>
      </c>
      <c r="AR124" s="1" t="e">
        <f>AQ124+AR122-AR123</f>
      </c>
      <c r="AS124" s="1" t="e">
        <f>AR124+AS122-AS123</f>
      </c>
      <c r="AT124" s="1" t="e">
        <f>AS124+AT122-AT123</f>
      </c>
      <c r="AU124" s="1" t="e">
        <f>AT124+AU122-AU123</f>
      </c>
      <c r="AV124" s="1" t="e">
        <f>AU124+AV122-AV123</f>
      </c>
      <c r="AW124" s="1" t="e">
        <f>AV124+AW122-AW123</f>
      </c>
      <c r="AX124" s="1" t="e">
        <f>AW124+AX122-AX123</f>
      </c>
      <c r="AY124" s="1" t="e">
        <f>AX124+AY122-AY123</f>
      </c>
      <c r="AZ124" s="1" t="e">
        <f>AY124+AZ122-AZ123</f>
      </c>
      <c r="BA124" s="1" t="e">
        <f>AZ124+BA122-BA123</f>
      </c>
      <c r="BB124" s="1" t="e">
        <f>BA124+BB122-BB123</f>
      </c>
      <c r="BC124" s="1" t="e">
        <f>BB124+BC122-BC123</f>
      </c>
      <c r="BD124" s="1" t="e">
        <f>BC124+BD122-BD123</f>
      </c>
      <c r="BE124" s="1" t="e">
        <f>BD124+BE122-BE123</f>
      </c>
      <c r="BF124" s="1" t="e">
        <f>BE124+BF122-BF123</f>
      </c>
      <c r="BG124" s="1" t="e">
        <f>BF124+BG122-BG123</f>
      </c>
      <c r="BH124" s="1" t="e">
        <f>BG124+BH122-BH123</f>
      </c>
      <c r="BI124" s="1" t="e">
        <f>BH124+BI122-BI123</f>
      </c>
      <c r="BJ124" s="1" t="e">
        <f>BI124+BJ122-BJ123</f>
      </c>
      <c r="BK124" s="1" t="e">
        <f>BJ124+BK122-BK123</f>
      </c>
      <c r="BL124" s="1" t="e">
        <f>O124</f>
      </c>
      <c r="BM124" s="1" t="e">
        <f>AA124</f>
      </c>
      <c r="BN124" s="1" t="e">
        <f>AM124</f>
      </c>
      <c r="BO124" s="1" t="e">
        <f>AY124</f>
      </c>
      <c r="BP124" s="1" t="e">
        <f>BK124</f>
      </c>
    </row>
    <row r="125">
      <c r="A125" t="str">
        <v>Effectif total (y.c. fondateur)</v>
      </c>
      <c r="B125" t="str">
        <v>pers.</v>
      </c>
      <c r="D125" s="8" t="e">
        <f>D82+D109+1</f>
      </c>
      <c r="E125" s="8" t="e">
        <f>E82+E109+1</f>
      </c>
      <c r="F125" s="8" t="e">
        <f>F82+F109+1</f>
      </c>
      <c r="G125" s="8" t="e">
        <f>G82+G109+1</f>
      </c>
      <c r="H125" s="8" t="e">
        <f>H82+H109+1</f>
      </c>
      <c r="I125" s="8" t="e">
        <f>I82+I109+1</f>
      </c>
      <c r="J125" s="8" t="e">
        <f>J82+J109+1</f>
      </c>
      <c r="K125" s="8" t="e">
        <f>K82+K109+1</f>
      </c>
      <c r="L125" s="8" t="e">
        <f>L82+L109+1</f>
      </c>
      <c r="M125" s="8" t="e">
        <f>M82+M109+1</f>
      </c>
      <c r="N125" s="8" t="e">
        <f>N82+N109+1</f>
      </c>
      <c r="O125" s="8" t="e">
        <f>O82+O109+1</f>
      </c>
      <c r="P125" s="8" t="e">
        <f>P82+P109+1</f>
      </c>
      <c r="Q125" s="8" t="e">
        <f>Q82+Q109+1</f>
      </c>
      <c r="R125" s="8" t="e">
        <f>R82+R109+1</f>
      </c>
      <c r="S125" s="8" t="e">
        <f>S82+S109+1</f>
      </c>
      <c r="T125" s="8" t="e">
        <f>T82+T109+1</f>
      </c>
      <c r="U125" s="8" t="e">
        <f>U82+U109+1</f>
      </c>
      <c r="V125" s="8" t="e">
        <f>V82+V109+1</f>
      </c>
      <c r="W125" s="8" t="e">
        <f>W82+W109+1</f>
      </c>
      <c r="X125" s="8" t="e">
        <f>X82+X109+1</f>
      </c>
      <c r="Y125" s="8" t="e">
        <f>Y82+Y109+1</f>
      </c>
      <c r="Z125" s="8" t="e">
        <f>Z82+Z109+1</f>
      </c>
      <c r="AA125" s="8" t="e">
        <f>AA82+AA109+1</f>
      </c>
      <c r="AB125" s="8" t="e">
        <f>AB82+AB109+1</f>
      </c>
      <c r="AC125" s="8" t="e">
        <f>AC82+AC109+1</f>
      </c>
      <c r="AD125" s="8" t="e">
        <f>AD82+AD109+1</f>
      </c>
      <c r="AE125" s="8" t="e">
        <f>AE82+AE109+1</f>
      </c>
      <c r="AF125" s="8" t="e">
        <f>AF82+AF109+1</f>
      </c>
      <c r="AG125" s="8" t="e">
        <f>AG82+AG109+1</f>
      </c>
      <c r="AH125" s="8" t="e">
        <f>AH82+AH109+1</f>
      </c>
      <c r="AI125" s="8" t="e">
        <f>AI82+AI109+1</f>
      </c>
      <c r="AJ125" s="8" t="e">
        <f>AJ82+AJ109+1</f>
      </c>
      <c r="AK125" s="8" t="e">
        <f>AK82+AK109+1</f>
      </c>
      <c r="AL125" s="8" t="e">
        <f>AL82+AL109+1</f>
      </c>
      <c r="AM125" s="8" t="e">
        <f>AM82+AM109+1</f>
      </c>
      <c r="AN125" s="8" t="e">
        <f>AN82+AN109+1</f>
      </c>
      <c r="AO125" s="8" t="e">
        <f>AO82+AO109+1</f>
      </c>
      <c r="AP125" s="8" t="e">
        <f>AP82+AP109+1</f>
      </c>
      <c r="AQ125" s="8" t="e">
        <f>AQ82+AQ109+1</f>
      </c>
      <c r="AR125" s="8" t="e">
        <f>AR82+AR109+1</f>
      </c>
      <c r="AS125" s="8" t="e">
        <f>AS82+AS109+1</f>
      </c>
      <c r="AT125" s="8" t="e">
        <f>AT82+AT109+1</f>
      </c>
      <c r="AU125" s="8" t="e">
        <f>AU82+AU109+1</f>
      </c>
      <c r="AV125" s="8" t="e">
        <f>AV82+AV109+1</f>
      </c>
      <c r="AW125" s="8" t="e">
        <f>AW82+AW109+1</f>
      </c>
      <c r="AX125" s="8" t="e">
        <f>AX82+AX109+1</f>
      </c>
      <c r="AY125" s="8" t="e">
        <f>AY82+AY109+1</f>
      </c>
      <c r="AZ125" s="8" t="e">
        <f>AZ82+AZ109+1</f>
      </c>
      <c r="BA125" s="8" t="e">
        <f>BA82+BA109+1</f>
      </c>
      <c r="BB125" s="8" t="e">
        <f>BB82+BB109+1</f>
      </c>
      <c r="BC125" s="8" t="e">
        <f>BC82+BC109+1</f>
      </c>
      <c r="BD125" s="8" t="e">
        <f>BD82+BD109+1</f>
      </c>
      <c r="BE125" s="8" t="e">
        <f>BE82+BE109+1</f>
      </c>
      <c r="BF125" s="8" t="e">
        <f>BF82+BF109+1</f>
      </c>
      <c r="BG125" s="8" t="e">
        <f>BG82+BG109+1</f>
      </c>
      <c r="BH125" s="8" t="e">
        <f>BH82+BH109+1</f>
      </c>
      <c r="BI125" s="8" t="e">
        <f>BI82+BI109+1</f>
      </c>
      <c r="BJ125" s="8" t="e">
        <f>BJ82+BJ109+1</f>
      </c>
      <c r="BK125" s="8" t="e">
        <f>BK82+BK109+1</f>
      </c>
      <c r="BL125" s="8" t="e">
        <f>O125</f>
      </c>
      <c r="BM125" s="8" t="e">
        <f>AA125</f>
      </c>
      <c r="BN125" s="8" t="e">
        <f>AM125</f>
      </c>
      <c r="BO125" s="8" t="e">
        <f>AY125</f>
      </c>
      <c r="BP125" s="8" t="e">
        <f>BK125</f>
      </c>
    </row>
    <row r="127">
      <c r="A127" t="str">
        <v>RÉSUMÉ DU SCÉNARIO</v>
      </c>
    </row>
    <row r="128">
      <c r="A128" t="str">
        <v>Besoin de financement</v>
      </c>
      <c r="C128" s="1" t="e">
        <f>MAX(0,-MIN(D124:BK124))</f>
      </c>
    </row>
    <row r="129">
      <c r="A129" t="str">
        <v>Trésorerie minimale</v>
      </c>
      <c r="C129" s="1" t="e">
        <f>MIN(D124:BK124)</f>
      </c>
    </row>
    <row r="130">
      <c r="A130" t="str">
        <v>Mois du point bas</v>
      </c>
      <c r="C130" s="7" t="e">
        <f>INDEX(D8:BK8,MATCH(MIN(D124:BK124),D124:BK124,0))</f>
      </c>
    </row>
    <row r="131">
      <c r="A131" t="str">
        <v>Commerciaux en fin de plan</v>
      </c>
      <c r="C131" s="3" t="e">
        <f>BK82</f>
      </c>
    </row>
    <row r="132">
      <c r="A132" t="str">
        <v>Clients actifs en fin de plan</v>
      </c>
      <c r="C132" s="9" t="e">
        <f>ROUND(BK96,0)</f>
      </c>
    </row>
    <row r="133">
      <c r="A133" t="str">
        <v>Résultat net cumulé sur 60 mois</v>
      </c>
      <c r="C133" s="1" t="e">
        <f>SUM(D121:BK121)</f>
      </c>
    </row>
  </sheetData>
  <ignoredErrors>
    <ignoredError numberStoredAsText="1" sqref="A1:BP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Synthèse — Exemple SA (Produit A + Produit B), plan 60 mois, EUR HT — données fictives</v>
      </c>
    </row>
    <row r="2">
      <c r="A2" t="str">
        <v>Colonnes B–F : scénario central ; colonnes G–K : variante prudente (coefficient de l'onglet Hypothèses). Projections fictives, pas des données constatées.</v>
      </c>
    </row>
    <row r="4">
      <c r="A4" t="str">
        <v>1. Tableau annuel 2027 à 2031</v>
      </c>
    </row>
    <row r="5">
      <c r="A5" t="str">
        <v>Indicateur</v>
      </c>
      <c r="B5" t="str">
        <v>Central — 2027</v>
      </c>
      <c r="C5" t="str">
        <v>Central — 2028</v>
      </c>
      <c r="D5" t="str">
        <v>Central — 2029</v>
      </c>
      <c r="E5" t="str">
        <v>Central — 2030</v>
      </c>
      <c r="F5" t="str">
        <v>Central — 2031</v>
      </c>
      <c r="G5" t="str">
        <v>Prudent — 2027</v>
      </c>
      <c r="H5" t="str">
        <v>Prudent — 2028</v>
      </c>
      <c r="I5" t="str">
        <v>Prudent — 2029</v>
      </c>
      <c r="J5" t="str">
        <v>Prudent — 2030</v>
      </c>
      <c r="K5" t="str">
        <v>Prudent — 2031</v>
      </c>
    </row>
    <row r="6">
      <c r="A6" t="str">
        <v>Chiffre d'affaires HT</v>
      </c>
      <c r="B6" s="1" t="e">
        <f>'Plan 60m — Exemple'!$BL$104</f>
      </c>
      <c r="C6" s="1" t="e">
        <f>'Plan 60m — Exemple'!$BM$104</f>
      </c>
      <c r="D6" s="1" t="e">
        <f>'Plan 60m — Exemple'!$BN$104</f>
      </c>
      <c r="E6" s="1" t="e">
        <f>'Plan 60m — Exemple'!$BO$104</f>
      </c>
      <c r="F6" s="1" t="e">
        <f>'Plan 60m — Exemple'!$BP$104</f>
      </c>
      <c r="G6" s="1" t="e">
        <f>B6*'Hypothèses'!$D$77</f>
      </c>
      <c r="H6" s="1" t="e">
        <f>C6*'Hypothèses'!$D$77</f>
      </c>
      <c r="I6" s="1" t="e">
        <f>D6*'Hypothèses'!$D$77</f>
      </c>
      <c r="J6" s="1" t="e">
        <f>E6*'Hypothèses'!$D$77</f>
      </c>
      <c r="K6" s="1" t="e">
        <f>F6*'Hypothèses'!$D$77</f>
      </c>
    </row>
    <row r="7">
      <c r="A7" t="str">
        <v>EBITDA</v>
      </c>
      <c r="B7" s="1" t="e">
        <f>'Plan 60m — Exemple'!$BL$117</f>
      </c>
      <c r="C7" s="1" t="e">
        <f>'Plan 60m — Exemple'!$BM$117</f>
      </c>
      <c r="D7" s="1" t="e">
        <f>'Plan 60m — Exemple'!$BN$117</f>
      </c>
      <c r="E7" s="1" t="e">
        <f>'Plan 60m — Exemple'!$BO$117</f>
      </c>
      <c r="F7" s="1" t="e">
        <f>'Plan 60m — Exemple'!$BP$117</f>
      </c>
      <c r="G7" s="1" t="e">
        <f>B7*'Hypothèses'!$D$77</f>
      </c>
      <c r="H7" s="1" t="e">
        <f>C7*'Hypothèses'!$D$77</f>
      </c>
      <c r="I7" s="1" t="e">
        <f>D7*'Hypothèses'!$D$77</f>
      </c>
      <c r="J7" s="1" t="e">
        <f>E7*'Hypothèses'!$D$77</f>
      </c>
      <c r="K7" s="1" t="e">
        <f>F7*'Hypothèses'!$D$77</f>
      </c>
    </row>
    <row r="8">
      <c r="A8" t="str">
        <v>Résultat net</v>
      </c>
      <c r="B8" s="1" t="e">
        <f>'Plan 60m — Exemple'!$BL$121</f>
      </c>
      <c r="C8" s="1" t="e">
        <f>'Plan 60m — Exemple'!$BM$121</f>
      </c>
      <c r="D8" s="1" t="e">
        <f>'Plan 60m — Exemple'!$BN$121</f>
      </c>
      <c r="E8" s="1" t="e">
        <f>'Plan 60m — Exemple'!$BO$121</f>
      </c>
      <c r="F8" s="1" t="e">
        <f>'Plan 60m — Exemple'!$BP$121</f>
      </c>
      <c r="G8" s="1" t="e">
        <f>B8*'Hypothèses'!$D$77</f>
      </c>
      <c r="H8" s="1" t="e">
        <f>C8*'Hypothèses'!$D$77</f>
      </c>
      <c r="I8" s="1" t="e">
        <f>D8*'Hypothèses'!$D$77</f>
      </c>
      <c r="J8" s="1" t="e">
        <f>E8*'Hypothèses'!$D$77</f>
      </c>
      <c r="K8" s="1" t="e">
        <f>F8*'Hypothèses'!$D$77</f>
      </c>
    </row>
    <row r="9">
      <c r="A9" t="str">
        <v>Effectif fin d'année (y.c. fondateur)</v>
      </c>
      <c r="B9" s="8" t="e">
        <f>'Plan 60m — Exemple'!$BL$125</f>
      </c>
      <c r="C9" s="8" t="e">
        <f>'Plan 60m — Exemple'!$BM$125</f>
      </c>
      <c r="D9" s="8" t="e">
        <f>'Plan 60m — Exemple'!$BN$125</f>
      </c>
      <c r="E9" s="8" t="e">
        <f>'Plan 60m — Exemple'!$BO$125</f>
      </c>
      <c r="F9" s="8" t="e">
        <f>'Plan 60m — Exemple'!$BP$125</f>
      </c>
      <c r="G9" s="8" t="e">
        <f>ROUND(B9*'Hypothèses'!$D$77,0)</f>
      </c>
      <c r="H9" s="8" t="e">
        <f>ROUND(C9*'Hypothèses'!$D$77,0)</f>
      </c>
      <c r="I9" s="8" t="e">
        <f>ROUND(D9*'Hypothèses'!$D$77,0)</f>
      </c>
      <c r="J9" s="8" t="e">
        <f>ROUND(E9*'Hypothèses'!$D$77,0)</f>
      </c>
      <c r="K9" s="8" t="e">
        <f>ROUND(F9*'Hypothèses'!$D$77,0)</f>
      </c>
    </row>
    <row r="10">
      <c r="A10" t="str">
        <v>dont commerciaux salariés</v>
      </c>
      <c r="B10" s="8" t="e">
        <f>'Plan 60m — Exemple'!$BL$82</f>
      </c>
      <c r="C10" s="8" t="e">
        <f>'Plan 60m — Exemple'!$BM$82</f>
      </c>
      <c r="D10" s="8" t="e">
        <f>'Plan 60m — Exemple'!$BN$82</f>
      </c>
      <c r="E10" s="8" t="e">
        <f>'Plan 60m — Exemple'!$BO$82</f>
      </c>
      <c r="F10" s="8" t="e">
        <f>'Plan 60m — Exemple'!$BP$82</f>
      </c>
      <c r="G10" s="8" t="e">
        <f>ROUND(B10*'Hypothèses'!$D$77,0)</f>
      </c>
      <c r="H10" s="8" t="e">
        <f>ROUND(C10*'Hypothèses'!$D$77,0)</f>
      </c>
      <c r="I10" s="8" t="e">
        <f>ROUND(D10*'Hypothèses'!$D$77,0)</f>
      </c>
      <c r="J10" s="8" t="e">
        <f>ROUND(E10*'Hypothèses'!$D$77,0)</f>
      </c>
      <c r="K10" s="8" t="e">
        <f>ROUND(F10*'Hypothèses'!$D$77,0)</f>
      </c>
    </row>
  </sheetData>
  <ignoredErrors>
    <ignoredError numberStoredAsText="1" sqref="A1:K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Sources</v>
      </c>
    </row>
    <row r="3">
      <c r="A3" t="str">
        <v>Hypothèses inventées pour les tests ; ordres de grandeur arbitraires, sans lien avec une entreprise existante.</v>
      </c>
    </row>
    <row r="4">
      <c r="A4" t="str">
        <v>Recalcul de référence : LibreOffice (soffice --headless), voir studio/scripts/make-test-fixtures.ts.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Lisez-moi</vt:lpstr>
      <vt:lpstr>Hypothèses</vt:lpstr>
      <vt:lpstr>Plan 60m — Exemple</vt:lpstr>
      <vt:lpstr>Synthèse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